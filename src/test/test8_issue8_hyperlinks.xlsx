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rey\Desktop\exceltk.0.1.3\"/>
    </mc:Choice>
  </mc:AlternateContent>
  <bookViews>
    <workbookView xWindow="0" yWindow="0" windowWidth="28800" windowHeight="13755" firstSheet="1" activeTab="1" xr2:uid="{00000000-000D-0000-FFFF-FFFF00000000}"/>
  </bookViews>
  <sheets>
    <sheet name="评分表" sheetId="1" state="hidden" r:id="rId1"/>
    <sheet name="Sheet1" sheetId="5" r:id="rId2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E9" i="1" s="1"/>
  <c r="A18" i="1"/>
  <c r="E18" i="1" s="1"/>
  <c r="A17" i="1"/>
  <c r="E17" i="1" s="1"/>
  <c r="A29" i="1"/>
  <c r="E29" i="1" s="1"/>
  <c r="A5" i="1"/>
  <c r="E5" i="1" s="1"/>
  <c r="A28" i="1"/>
  <c r="E28" i="1" s="1"/>
  <c r="A8" i="1"/>
  <c r="E8" i="1" s="1"/>
  <c r="A14" i="1"/>
  <c r="E14" i="1" s="1"/>
  <c r="A23" i="1"/>
  <c r="E23" i="1" s="1"/>
  <c r="A20" i="1"/>
  <c r="E20" i="1" s="1"/>
  <c r="A4" i="1"/>
  <c r="E4" i="1" s="1"/>
  <c r="A25" i="1"/>
  <c r="E25" i="1" s="1"/>
  <c r="A11" i="1"/>
  <c r="E11" i="1" s="1"/>
  <c r="A21" i="1"/>
  <c r="E21" i="1" s="1"/>
  <c r="A7" i="1"/>
  <c r="E7" i="1" s="1"/>
  <c r="A6" i="1"/>
  <c r="E6" i="1" s="1"/>
  <c r="A10" i="1"/>
  <c r="E10" i="1" s="1"/>
  <c r="A30" i="1"/>
  <c r="E30" i="1" s="1"/>
  <c r="A13" i="1"/>
  <c r="E13" i="1" s="1"/>
  <c r="A24" i="1"/>
  <c r="E24" i="1" s="1"/>
  <c r="A19" i="1"/>
  <c r="E19" i="1" s="1"/>
  <c r="A27" i="1"/>
  <c r="E27" i="1" s="1"/>
  <c r="A3" i="1"/>
  <c r="E3" i="1" s="1"/>
  <c r="A26" i="1"/>
  <c r="E26" i="1" s="1"/>
  <c r="A12" i="1"/>
  <c r="E12" i="1" s="1"/>
  <c r="A16" i="1"/>
  <c r="E16" i="1" s="1"/>
  <c r="A22" i="1"/>
  <c r="E22" i="1" s="1"/>
  <c r="A15" i="1"/>
  <c r="E15" i="1" s="1"/>
  <c r="A31" i="1"/>
  <c r="E31" i="1" s="1"/>
  <c r="A2" i="1"/>
  <c r="E2" i="1" s="1"/>
  <c r="B2" i="1"/>
  <c r="D9" i="1" l="1"/>
  <c r="D18" i="1"/>
  <c r="D17" i="1"/>
  <c r="D29" i="1"/>
  <c r="D5" i="1"/>
  <c r="D28" i="1"/>
  <c r="D8" i="1"/>
  <c r="D14" i="1"/>
  <c r="D23" i="1"/>
  <c r="D20" i="1"/>
  <c r="D4" i="1"/>
  <c r="D25" i="1"/>
  <c r="D11" i="1"/>
  <c r="D21" i="1"/>
  <c r="D7" i="1"/>
  <c r="D6" i="1"/>
  <c r="D10" i="1"/>
  <c r="D30" i="1"/>
  <c r="D13" i="1"/>
  <c r="D24" i="1"/>
  <c r="D19" i="1"/>
  <c r="D27" i="1"/>
  <c r="D3" i="1"/>
  <c r="D26" i="1"/>
  <c r="D12" i="1"/>
  <c r="D16" i="1"/>
  <c r="D22" i="1"/>
  <c r="D15" i="1"/>
  <c r="D31" i="1"/>
  <c r="D2" i="1"/>
  <c r="C2" i="1"/>
  <c r="L9" i="1"/>
  <c r="L2" i="1"/>
  <c r="AN9" i="1"/>
  <c r="AN18" i="1"/>
  <c r="AN17" i="1"/>
  <c r="AN29" i="1"/>
  <c r="AN5" i="1"/>
  <c r="AN28" i="1"/>
  <c r="AN8" i="1"/>
  <c r="AN14" i="1"/>
  <c r="AN23" i="1"/>
  <c r="AN20" i="1"/>
  <c r="AN4" i="1"/>
  <c r="AN25" i="1"/>
  <c r="AN11" i="1"/>
  <c r="AN21" i="1"/>
  <c r="AN7" i="1"/>
  <c r="AN6" i="1"/>
  <c r="AN10" i="1"/>
  <c r="AN30" i="1"/>
  <c r="AN13" i="1"/>
  <c r="AN24" i="1"/>
  <c r="AN19" i="1"/>
  <c r="AN27" i="1"/>
  <c r="AN3" i="1"/>
  <c r="AN26" i="1"/>
  <c r="AN12" i="1"/>
  <c r="AN16" i="1"/>
  <c r="AN22" i="1"/>
  <c r="AN15" i="1"/>
  <c r="AN31" i="1"/>
  <c r="AN2" i="1"/>
  <c r="AD2" i="1"/>
  <c r="AK9" i="1"/>
  <c r="AK18" i="1"/>
  <c r="AK17" i="1"/>
  <c r="AK29" i="1"/>
  <c r="AK5" i="1"/>
  <c r="AK28" i="1"/>
  <c r="AK8" i="1"/>
  <c r="AK14" i="1"/>
  <c r="AK23" i="1"/>
  <c r="AK20" i="1"/>
  <c r="AK4" i="1"/>
  <c r="AK25" i="1"/>
  <c r="AK11" i="1"/>
  <c r="AK21" i="1"/>
  <c r="AK7" i="1"/>
  <c r="AK6" i="1"/>
  <c r="AK10" i="1"/>
  <c r="AK30" i="1"/>
  <c r="AK13" i="1"/>
  <c r="AK24" i="1"/>
  <c r="AK19" i="1"/>
  <c r="AK27" i="1"/>
  <c r="AK3" i="1"/>
  <c r="AK26" i="1"/>
  <c r="AK12" i="1"/>
  <c r="AK16" i="1"/>
  <c r="AK22" i="1"/>
  <c r="AK15" i="1"/>
  <c r="AK31" i="1"/>
  <c r="AK2" i="1"/>
  <c r="AD9" i="1"/>
  <c r="AD18" i="1"/>
  <c r="AD17" i="1"/>
  <c r="AD29" i="1"/>
  <c r="AD5" i="1"/>
  <c r="AD28" i="1"/>
  <c r="AD8" i="1"/>
  <c r="AD14" i="1"/>
  <c r="AD23" i="1"/>
  <c r="AD20" i="1"/>
  <c r="AD4" i="1"/>
  <c r="AD25" i="1"/>
  <c r="AD11" i="1"/>
  <c r="AD21" i="1"/>
  <c r="AD7" i="1"/>
  <c r="AD6" i="1"/>
  <c r="AD10" i="1"/>
  <c r="AD30" i="1"/>
  <c r="AD13" i="1"/>
  <c r="AD24" i="1"/>
  <c r="AD19" i="1"/>
  <c r="AD27" i="1"/>
  <c r="AD3" i="1"/>
  <c r="AD26" i="1"/>
  <c r="AD12" i="1"/>
  <c r="AD16" i="1"/>
  <c r="AD22" i="1"/>
  <c r="AD15" i="1"/>
  <c r="AD31" i="1"/>
  <c r="L18" i="1"/>
  <c r="L17" i="1"/>
  <c r="L29" i="1"/>
  <c r="L5" i="1"/>
  <c r="L28" i="1"/>
  <c r="L8" i="1"/>
  <c r="L14" i="1"/>
  <c r="L23" i="1"/>
  <c r="L20" i="1"/>
  <c r="L4" i="1"/>
  <c r="L25" i="1"/>
  <c r="L11" i="1"/>
  <c r="L21" i="1"/>
  <c r="L7" i="1"/>
  <c r="L6" i="1"/>
  <c r="L10" i="1"/>
  <c r="L30" i="1"/>
  <c r="L13" i="1"/>
  <c r="L24" i="1"/>
  <c r="L19" i="1"/>
  <c r="L27" i="1"/>
  <c r="L3" i="1"/>
  <c r="L26" i="1"/>
  <c r="L12" i="1"/>
  <c r="L16" i="1"/>
  <c r="L22" i="1"/>
  <c r="L15" i="1"/>
  <c r="L31" i="1"/>
  <c r="AA9" i="1"/>
  <c r="AA18" i="1"/>
  <c r="AA17" i="1"/>
  <c r="AA29" i="1"/>
  <c r="AA5" i="1"/>
  <c r="AA28" i="1"/>
  <c r="AA8" i="1"/>
  <c r="AA14" i="1"/>
  <c r="AA23" i="1"/>
  <c r="AA20" i="1"/>
  <c r="AA4" i="1"/>
  <c r="AA25" i="1"/>
  <c r="AA11" i="1"/>
  <c r="AA21" i="1"/>
  <c r="AA7" i="1"/>
  <c r="AA6" i="1"/>
  <c r="AA10" i="1"/>
  <c r="AA30" i="1"/>
  <c r="AA13" i="1"/>
  <c r="AA24" i="1"/>
  <c r="AA19" i="1"/>
  <c r="AA27" i="1"/>
  <c r="AA3" i="1"/>
  <c r="AA26" i="1"/>
  <c r="AA12" i="1"/>
  <c r="AA16" i="1"/>
  <c r="AA22" i="1"/>
  <c r="AA15" i="1"/>
  <c r="AA31" i="1"/>
  <c r="AA2" i="1"/>
  <c r="S9" i="1"/>
  <c r="S18" i="1"/>
  <c r="S17" i="1"/>
  <c r="S29" i="1"/>
  <c r="S5" i="1"/>
  <c r="S28" i="1"/>
  <c r="S8" i="1"/>
  <c r="S14" i="1"/>
  <c r="S23" i="1"/>
  <c r="S20" i="1"/>
  <c r="S4" i="1"/>
  <c r="S25" i="1"/>
  <c r="S11" i="1"/>
  <c r="S21" i="1"/>
  <c r="S7" i="1"/>
  <c r="S6" i="1"/>
  <c r="S10" i="1"/>
  <c r="S30" i="1"/>
  <c r="S13" i="1"/>
  <c r="S24" i="1"/>
  <c r="S19" i="1"/>
  <c r="S27" i="1"/>
  <c r="S3" i="1"/>
  <c r="S26" i="1"/>
  <c r="S12" i="1"/>
  <c r="S16" i="1"/>
  <c r="S22" i="1"/>
  <c r="S15" i="1"/>
  <c r="S31" i="1"/>
  <c r="S2" i="1"/>
  <c r="B9" i="1"/>
  <c r="B18" i="1"/>
  <c r="B17" i="1"/>
  <c r="B29" i="1"/>
  <c r="B5" i="1"/>
  <c r="B28" i="1"/>
  <c r="B8" i="1"/>
  <c r="B14" i="1"/>
  <c r="B23" i="1"/>
  <c r="B20" i="1"/>
  <c r="B4" i="1"/>
  <c r="B25" i="1"/>
  <c r="B11" i="1"/>
  <c r="B21" i="1"/>
  <c r="B7" i="1"/>
  <c r="B6" i="1"/>
  <c r="B10" i="1"/>
  <c r="B30" i="1"/>
  <c r="B13" i="1"/>
  <c r="B24" i="1"/>
  <c r="B19" i="1"/>
  <c r="B27" i="1"/>
  <c r="B3" i="1"/>
  <c r="B26" i="1"/>
  <c r="B12" i="1"/>
  <c r="B16" i="1"/>
  <c r="B22" i="1"/>
  <c r="B15" i="1"/>
  <c r="B31" i="1"/>
  <c r="C9" i="1"/>
  <c r="C18" i="1"/>
  <c r="C17" i="1"/>
  <c r="C29" i="1"/>
  <c r="C5" i="1"/>
  <c r="C28" i="1"/>
  <c r="C8" i="1"/>
  <c r="C14" i="1"/>
  <c r="C23" i="1"/>
  <c r="C20" i="1"/>
  <c r="C4" i="1"/>
  <c r="C25" i="1"/>
  <c r="C11" i="1"/>
  <c r="C21" i="1"/>
  <c r="C7" i="1"/>
  <c r="C6" i="1"/>
  <c r="C10" i="1"/>
  <c r="C30" i="1"/>
  <c r="C13" i="1"/>
  <c r="C24" i="1"/>
  <c r="C19" i="1"/>
  <c r="C27" i="1"/>
  <c r="C3" i="1"/>
  <c r="C26" i="1"/>
  <c r="C12" i="1"/>
  <c r="C16" i="1"/>
  <c r="C22" i="1"/>
  <c r="C15" i="1"/>
  <c r="C31" i="1"/>
  <c r="M2" i="1" l="1"/>
  <c r="T2" i="1"/>
  <c r="T10" i="1"/>
  <c r="T23" i="1"/>
  <c r="T9" i="1"/>
  <c r="AB2" i="1"/>
  <c r="T18" i="1"/>
  <c r="T17" i="1"/>
  <c r="T12" i="1"/>
  <c r="AL29" i="1"/>
  <c r="AL6" i="1"/>
  <c r="AL15" i="1"/>
  <c r="AL25" i="1"/>
  <c r="AL9" i="1"/>
  <c r="AL26" i="1"/>
  <c r="AL14" i="1"/>
  <c r="AL24" i="1"/>
  <c r="AL22" i="1"/>
  <c r="AL3" i="1"/>
  <c r="AL13" i="1"/>
  <c r="AL7" i="1"/>
  <c r="AL4" i="1"/>
  <c r="AL8" i="1"/>
  <c r="AL17" i="1"/>
  <c r="AL2" i="1"/>
  <c r="AL16" i="1"/>
  <c r="AL27" i="1"/>
  <c r="AL30" i="1"/>
  <c r="AL21" i="1"/>
  <c r="AL20" i="1"/>
  <c r="AL28" i="1"/>
  <c r="AL18" i="1"/>
  <c r="AL31" i="1"/>
  <c r="AL12" i="1"/>
  <c r="AL19" i="1"/>
  <c r="AL10" i="1"/>
  <c r="AL11" i="1"/>
  <c r="AL23" i="1"/>
  <c r="AL5" i="1"/>
  <c r="AB17" i="1"/>
  <c r="AB26" i="1"/>
  <c r="AB6" i="1"/>
  <c r="AB14" i="1"/>
  <c r="AB3" i="1"/>
  <c r="AB7" i="1"/>
  <c r="AB8" i="1"/>
  <c r="AB15" i="1"/>
  <c r="AB24" i="1"/>
  <c r="AB25" i="1"/>
  <c r="AB29" i="1"/>
  <c r="AB9" i="1"/>
  <c r="AB22" i="1"/>
  <c r="AB13" i="1"/>
  <c r="AB4" i="1"/>
  <c r="AB16" i="1"/>
  <c r="AB27" i="1"/>
  <c r="AB30" i="1"/>
  <c r="AB21" i="1"/>
  <c r="AB20" i="1"/>
  <c r="AB28" i="1"/>
  <c r="AB18" i="1"/>
  <c r="AB31" i="1"/>
  <c r="AB12" i="1"/>
  <c r="AB19" i="1"/>
  <c r="AB10" i="1"/>
  <c r="AB11" i="1"/>
  <c r="AB23" i="1"/>
  <c r="AB5" i="1"/>
  <c r="T3" i="1"/>
  <c r="T7" i="1"/>
  <c r="T8" i="1"/>
  <c r="T31" i="1"/>
  <c r="T19" i="1"/>
  <c r="T11" i="1"/>
  <c r="T5" i="1"/>
  <c r="T22" i="1"/>
  <c r="T13" i="1"/>
  <c r="T4" i="1"/>
  <c r="T15" i="1"/>
  <c r="T26" i="1"/>
  <c r="T24" i="1"/>
  <c r="T6" i="1"/>
  <c r="T25" i="1"/>
  <c r="T14" i="1"/>
  <c r="T29" i="1"/>
  <c r="T16" i="1"/>
  <c r="T27" i="1"/>
  <c r="T30" i="1"/>
  <c r="T21" i="1"/>
  <c r="T20" i="1"/>
  <c r="T28" i="1"/>
  <c r="M9" i="1"/>
  <c r="M15" i="1"/>
  <c r="M26" i="1"/>
  <c r="M24" i="1"/>
  <c r="M6" i="1"/>
  <c r="M25" i="1"/>
  <c r="M14" i="1"/>
  <c r="M29" i="1"/>
  <c r="M22" i="1"/>
  <c r="M3" i="1"/>
  <c r="M13" i="1"/>
  <c r="M7" i="1"/>
  <c r="M4" i="1"/>
  <c r="M8" i="1"/>
  <c r="M17" i="1"/>
  <c r="M16" i="1"/>
  <c r="M27" i="1"/>
  <c r="M30" i="1"/>
  <c r="M21" i="1"/>
  <c r="M20" i="1"/>
  <c r="M28" i="1"/>
  <c r="M18" i="1"/>
  <c r="M31" i="1"/>
  <c r="M12" i="1"/>
  <c r="M19" i="1"/>
  <c r="M10" i="1"/>
  <c r="M11" i="1"/>
  <c r="M23" i="1"/>
  <c r="M5" i="1"/>
  <c r="AO2" i="1" l="1"/>
  <c r="AO20" i="1"/>
  <c r="AO16" i="1"/>
  <c r="AO29" i="1"/>
  <c r="AO13" i="1"/>
  <c r="AO17" i="1"/>
  <c r="AO19" i="1"/>
  <c r="AO25" i="1"/>
  <c r="AO26" i="1"/>
  <c r="AO10" i="1"/>
  <c r="AO18" i="1"/>
  <c r="AO22" i="1"/>
  <c r="AO12" i="1"/>
  <c r="AO9" i="1"/>
  <c r="AO23" i="1"/>
  <c r="AO21" i="1"/>
  <c r="AO30" i="1"/>
  <c r="AO28" i="1"/>
  <c r="AO27" i="1"/>
  <c r="AO24" i="1"/>
  <c r="AO3" i="1"/>
  <c r="AO5" i="1"/>
  <c r="AO14" i="1"/>
  <c r="AO31" i="1"/>
  <c r="AO15" i="1"/>
  <c r="AO8" i="1"/>
  <c r="AO6" i="1"/>
  <c r="AO4" i="1"/>
  <c r="AO11" i="1"/>
  <c r="AO7" i="1"/>
  <c r="AP7" i="1" l="1"/>
  <c r="AR7" i="1" s="1"/>
  <c r="AP4" i="1"/>
  <c r="AR4" i="1" s="1"/>
  <c r="AP31" i="1"/>
  <c r="AR31" i="1" s="1"/>
  <c r="AP24" i="1"/>
  <c r="AR24" i="1" s="1"/>
  <c r="AP21" i="1"/>
  <c r="AR21" i="1" s="1"/>
  <c r="AP22" i="1"/>
  <c r="AR22" i="1" s="1"/>
  <c r="AP25" i="1"/>
  <c r="AR25" i="1" s="1"/>
  <c r="AP29" i="1"/>
  <c r="AR29" i="1" s="1"/>
  <c r="AP6" i="1"/>
  <c r="AR6" i="1" s="1"/>
  <c r="AP14" i="1"/>
  <c r="AR14" i="1" s="1"/>
  <c r="AP27" i="1"/>
  <c r="AR27" i="1" s="1"/>
  <c r="AP23" i="1"/>
  <c r="AR23" i="1" s="1"/>
  <c r="AP18" i="1"/>
  <c r="AR18" i="1" s="1"/>
  <c r="AP19" i="1"/>
  <c r="AR19" i="1" s="1"/>
  <c r="AP16" i="1"/>
  <c r="AR16" i="1" s="1"/>
  <c r="AP28" i="1"/>
  <c r="AR28" i="1" s="1"/>
  <c r="AP10" i="1"/>
  <c r="AR10" i="1" s="1"/>
  <c r="AP17" i="1"/>
  <c r="AR17" i="1" s="1"/>
  <c r="AP20" i="1"/>
  <c r="AR20" i="1" s="1"/>
  <c r="AP8" i="1"/>
  <c r="AR8" i="1" s="1"/>
  <c r="AP5" i="1"/>
  <c r="AR5" i="1" s="1"/>
  <c r="AP9" i="1"/>
  <c r="AR9" i="1" s="1"/>
  <c r="AP11" i="1"/>
  <c r="AR11" i="1" s="1"/>
  <c r="AP15" i="1"/>
  <c r="AR15" i="1" s="1"/>
  <c r="AP3" i="1"/>
  <c r="AR3" i="1" s="1"/>
  <c r="AP30" i="1"/>
  <c r="AR30" i="1" s="1"/>
  <c r="AP12" i="1"/>
  <c r="AR12" i="1" s="1"/>
  <c r="AP26" i="1"/>
  <c r="AR26" i="1" s="1"/>
  <c r="AP13" i="1"/>
  <c r="AR13" i="1" s="1"/>
  <c r="AP2" i="1"/>
  <c r="AR2" i="1" s="1"/>
</calcChain>
</file>

<file path=xl/sharedStrings.xml><?xml version="1.0" encoding="utf-8"?>
<sst xmlns="http://schemas.openxmlformats.org/spreadsheetml/2006/main" count="45" uniqueCount="33">
  <si>
    <t>作业1</t>
    <phoneticPr fontId="1" type="noConversion"/>
  </si>
  <si>
    <t>作业2</t>
    <phoneticPr fontId="1" type="noConversion"/>
  </si>
  <si>
    <t>作业3</t>
    <phoneticPr fontId="1" type="noConversion"/>
  </si>
  <si>
    <t>作业4</t>
    <phoneticPr fontId="1" type="noConversion"/>
  </si>
  <si>
    <t>作业5</t>
    <phoneticPr fontId="1" type="noConversion"/>
  </si>
  <si>
    <t>作业1</t>
    <phoneticPr fontId="1" type="noConversion"/>
  </si>
  <si>
    <t>作业4</t>
    <phoneticPr fontId="1" type="noConversion"/>
  </si>
  <si>
    <t>作业5</t>
    <phoneticPr fontId="1" type="noConversion"/>
  </si>
  <si>
    <t>作业4</t>
    <phoneticPr fontId="1" type="noConversion"/>
  </si>
  <si>
    <t>作业0</t>
    <phoneticPr fontId="1" type="noConversion"/>
  </si>
  <si>
    <t>作业1</t>
    <phoneticPr fontId="1" type="noConversion"/>
  </si>
  <si>
    <t>作业2</t>
    <phoneticPr fontId="1" type="noConversion"/>
  </si>
  <si>
    <t>作业3</t>
    <phoneticPr fontId="1" type="noConversion"/>
  </si>
  <si>
    <t>个人汇总</t>
    <phoneticPr fontId="1" type="noConversion"/>
  </si>
  <si>
    <t>映射后</t>
    <phoneticPr fontId="1" type="noConversion"/>
  </si>
  <si>
    <t>结对汇总</t>
    <phoneticPr fontId="1" type="noConversion"/>
  </si>
  <si>
    <t>映射后</t>
    <phoneticPr fontId="1" type="noConversion"/>
  </si>
  <si>
    <t>alpha汇总</t>
    <phoneticPr fontId="1" type="noConversion"/>
  </si>
  <si>
    <t>alpha团队贡献</t>
    <phoneticPr fontId="1" type="noConversion"/>
  </si>
  <si>
    <t>Beta汇总</t>
    <phoneticPr fontId="1" type="noConversion"/>
  </si>
  <si>
    <t>beta团队贡献</t>
    <phoneticPr fontId="1" type="noConversion"/>
  </si>
  <si>
    <t>映射后</t>
    <phoneticPr fontId="1" type="noConversion"/>
  </si>
  <si>
    <t>总分</t>
    <phoneticPr fontId="1" type="noConversion"/>
  </si>
  <si>
    <t>附加题</t>
    <phoneticPr fontId="1" type="noConversion"/>
  </si>
  <si>
    <t>最终得分</t>
    <phoneticPr fontId="1" type="noConversion"/>
  </si>
  <si>
    <t>作业4</t>
    <phoneticPr fontId="1" type="noConversion"/>
  </si>
  <si>
    <t>趋势</t>
    <phoneticPr fontId="1" type="noConversion"/>
  </si>
  <si>
    <t>趋势</t>
    <phoneticPr fontId="1" type="noConversion"/>
  </si>
  <si>
    <t>项目1</t>
    <phoneticPr fontId="1" type="noConversion"/>
  </si>
  <si>
    <t>项目2</t>
  </si>
  <si>
    <t>项目3</t>
  </si>
  <si>
    <t>标题2</t>
    <phoneticPr fontId="1" type="noConversion"/>
  </si>
  <si>
    <t>标题1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</si>
</sst>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theme="3"/>
      <name val="等线"/>
      <family val="2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4"/>
      <name val="等线"/>
      <family val="2"/>
      <charset val="134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/>
  </cellStyleXfs>
  <cellXfs count="23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Protection="1">
      <alignment vertical="center"/>
    </xf>
    <xf numFmtId="0" fontId="2" fillId="0" borderId="0" xfId="0" applyFo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6" fillId="4" borderId="1" xfId="3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0" fillId="0" borderId="0" xfId="0" applyFill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6" fillId="0" borderId="1" xfId="3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6" fillId="0" borderId="1" xfId="3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</xf>
    <xf numFmtId="0" fontId="6" fillId="0" borderId="0" xfId="3">
      <alignment vertical="center"/>
    </xf>
  </cellXfs>
  <cellStyles count="5">
    <cellStyle name="常规" xfId="0" builtinId="0"/>
    <cellStyle name="常规 2" xfId="2" xr:uid="{00000000-0005-0000-0000-000001000000}"/>
    <cellStyle name="常规 2 2" xfId="1" xr:uid="{00000000-0005-0000-0000-000002000000}"/>
    <cellStyle name="常规 3" xfId="4" xr:uid="{00000000-0005-0000-0000-000033000000}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nblogs.com/HQL0301/p/7419272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idu.com/" TargetMode="External"/><Relationship Id="rId1" Type="http://schemas.openxmlformats.org/officeDocument/2006/relationships/hyperlink" Target="https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R31"/>
  <sheetViews>
    <sheetView topLeftCell="B1" workbookViewId="0">
      <pane ySplit="1" topLeftCell="A2" activePane="bottomLeft" state="frozen"/>
      <selection pane="bottomLeft" activeCell="M2" sqref="M2"/>
    </sheetView>
  </sheetViews>
  <sheetFormatPr defaultRowHeight="14.25"/>
  <cols>
    <col min="1" max="1" width="13.875" style="1" hidden="1" customWidth="1"/>
    <col min="2" max="2" width="4.5" style="4" bestFit="1" customWidth="1"/>
    <col min="3" max="3" width="33.75" style="5" bestFit="1" customWidth="1"/>
    <col min="4" max="4" width="40.625" style="1" bestFit="1" customWidth="1"/>
    <col min="5" max="7" width="6.25" style="1" bestFit="1" customWidth="1"/>
    <col min="8" max="9" width="6.25" style="1" customWidth="1"/>
    <col min="10" max="10" width="6.25" style="1" bestFit="1" customWidth="1"/>
    <col min="11" max="11" width="9" style="11" bestFit="1" customWidth="1"/>
    <col min="12" max="12" width="10.25" style="2" bestFit="1" customWidth="1"/>
    <col min="13" max="13" width="10.25" style="2" customWidth="1"/>
    <col min="14" max="17" width="6.25" style="1" bestFit="1" customWidth="1"/>
    <col min="18" max="18" width="6.25" style="11" customWidth="1"/>
    <col min="19" max="19" width="10.25" style="1" bestFit="1" customWidth="1"/>
    <col min="20" max="20" width="10.25" style="1" customWidth="1"/>
    <col min="21" max="25" width="6.25" style="1" bestFit="1" customWidth="1"/>
    <col min="26" max="26" width="6.25" style="1" customWidth="1"/>
    <col min="27" max="27" width="11.625" style="1" bestFit="1" customWidth="1"/>
    <col min="28" max="28" width="11.625" style="1" customWidth="1"/>
    <col min="29" max="29" width="18.625" style="1" bestFit="1" customWidth="1"/>
    <col min="30" max="30" width="7.125" style="1" bestFit="1" customWidth="1"/>
    <col min="31" max="35" width="6.25" style="1" bestFit="1" customWidth="1"/>
    <col min="36" max="36" width="6.25" style="11" customWidth="1"/>
    <col min="37" max="37" width="9" style="1" bestFit="1" customWidth="1"/>
    <col min="38" max="38" width="7.125" style="1" bestFit="1" customWidth="1"/>
    <col min="39" max="39" width="13" style="1" bestFit="1" customWidth="1"/>
    <col min="40" max="40" width="7.125" style="1" bestFit="1" customWidth="1"/>
    <col min="41" max="41" width="5.25" style="1" bestFit="1" customWidth="1"/>
    <col min="42" max="42" width="7.125" style="1" bestFit="1" customWidth="1"/>
    <col min="43" max="43" width="6.625" style="1" customWidth="1"/>
    <col min="44" max="16384" width="9" style="1"/>
  </cols>
  <sheetData>
    <row r="1" spans="1:44" s="3" customFormat="1">
      <c r="A1" s="12"/>
      <c r="B1" s="12"/>
      <c r="C1" s="13"/>
      <c r="D1" s="12"/>
      <c r="E1" s="14" t="s">
        <v>9</v>
      </c>
      <c r="F1" s="12" t="s">
        <v>10</v>
      </c>
      <c r="G1" s="12" t="s">
        <v>11</v>
      </c>
      <c r="H1" s="12" t="s">
        <v>12</v>
      </c>
      <c r="I1" s="12" t="s">
        <v>25</v>
      </c>
      <c r="J1" s="12" t="s">
        <v>4</v>
      </c>
      <c r="K1" s="15" t="s">
        <v>26</v>
      </c>
      <c r="L1" s="12" t="s">
        <v>13</v>
      </c>
      <c r="M1" s="12" t="s">
        <v>14</v>
      </c>
      <c r="N1" s="12" t="s">
        <v>0</v>
      </c>
      <c r="O1" s="12" t="s">
        <v>1</v>
      </c>
      <c r="P1" s="12" t="s">
        <v>2</v>
      </c>
      <c r="Q1" s="12" t="s">
        <v>8</v>
      </c>
      <c r="R1" s="15" t="s">
        <v>26</v>
      </c>
      <c r="S1" s="12" t="s">
        <v>15</v>
      </c>
      <c r="T1" s="12" t="s">
        <v>16</v>
      </c>
      <c r="U1" s="12" t="s">
        <v>0</v>
      </c>
      <c r="V1" s="12" t="s">
        <v>1</v>
      </c>
      <c r="W1" s="12" t="s">
        <v>2</v>
      </c>
      <c r="X1" s="12" t="s">
        <v>3</v>
      </c>
      <c r="Y1" s="12" t="s">
        <v>4</v>
      </c>
      <c r="Z1" s="12" t="s">
        <v>27</v>
      </c>
      <c r="AA1" s="12" t="s">
        <v>17</v>
      </c>
      <c r="AB1" s="12" t="s">
        <v>14</v>
      </c>
      <c r="AC1" s="12" t="s">
        <v>18</v>
      </c>
      <c r="AD1" s="12" t="s">
        <v>14</v>
      </c>
      <c r="AE1" s="12" t="s">
        <v>5</v>
      </c>
      <c r="AF1" s="12" t="s">
        <v>1</v>
      </c>
      <c r="AG1" s="12" t="s">
        <v>2</v>
      </c>
      <c r="AH1" s="12" t="s">
        <v>6</v>
      </c>
      <c r="AI1" s="12" t="s">
        <v>7</v>
      </c>
      <c r="AJ1" s="15" t="s">
        <v>26</v>
      </c>
      <c r="AK1" s="12" t="s">
        <v>19</v>
      </c>
      <c r="AL1" s="12" t="s">
        <v>14</v>
      </c>
      <c r="AM1" s="12" t="s">
        <v>20</v>
      </c>
      <c r="AN1" s="12" t="s">
        <v>21</v>
      </c>
      <c r="AO1" s="12" t="s">
        <v>22</v>
      </c>
      <c r="AP1" s="12" t="s">
        <v>14</v>
      </c>
      <c r="AQ1" s="16" t="s">
        <v>23</v>
      </c>
      <c r="AR1" s="17" t="s">
        <v>24</v>
      </c>
    </row>
    <row r="2" spans="1:44">
      <c r="A2" s="18" t="e">
        <f>#REF!</f>
        <v>#REF!</v>
      </c>
      <c r="B2" s="14" t="e">
        <f>HYPERLINK(#REF!,RIGHT(#REF!,3))</f>
        <v>#REF!</v>
      </c>
      <c r="C2" s="20" t="e">
        <f>HYPERLINK(#REF!,SUBSTITUTE(#REF!,"https://coding.net/u/",""))</f>
        <v>#REF!</v>
      </c>
      <c r="D2" s="14" t="e">
        <f>HYPERLINK(#REF!,SUBSTITUTE(#REF!,"https://coding.net/",""))</f>
        <v>#REF!</v>
      </c>
      <c r="E2" s="8" t="e">
        <f>HYPERLINK(#REF!,VLOOKUP(A2,#REF!,6,FALSE))</f>
        <v>#REF!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10"/>
      <c r="L2" s="21" t="e">
        <f t="shared" ref="L2:L31" si="0">SUM(E2:J2)</f>
        <v>#REF!</v>
      </c>
      <c r="M2" s="21" t="e">
        <f t="shared" ref="M2:M31" si="1">ROUND(IF(IF(L2=MAX(L$2:L$31),20,L2/(MAX(L$2:L$31)/20))&lt;0,0,IF(L2=MAX(L$2:L$31),20,L2/(MAX(L$2:L$31)/20))),0)</f>
        <v>#REF!</v>
      </c>
      <c r="N2" s="6"/>
      <c r="O2" s="6"/>
      <c r="P2" s="6"/>
      <c r="Q2" s="6"/>
      <c r="R2" s="9"/>
      <c r="S2" s="21">
        <f t="shared" ref="S2:S31" si="2">SUM(N2:Q2)</f>
        <v>0</v>
      </c>
      <c r="T2" s="21">
        <f t="shared" ref="T2:T31" si="3">ROUND(IF(IF(S2=MAX(S$2:S$31),20,S2/(MAX(S$2:S$31)/20))&lt;0,0,IF(S2=MAX(S$2:S$31),20,S2/(MAX(S$2:S$31)/20))),0)</f>
        <v>20</v>
      </c>
      <c r="U2" s="6"/>
      <c r="V2" s="6"/>
      <c r="W2" s="6"/>
      <c r="X2" s="6"/>
      <c r="Y2" s="6"/>
      <c r="Z2" s="9"/>
      <c r="AA2" s="21">
        <f t="shared" ref="AA2:AA31" si="4">SUM(U2:Y2)</f>
        <v>0</v>
      </c>
      <c r="AB2" s="21">
        <f t="shared" ref="AB2:AB31" si="5">ROUND(IF(IF(AA2=MAX(AA$2:AA$31),25,AA2/(MAX(AA$2:AA$31)/25))&lt;0,0,IF(AA2=MAX(AA$2:AA$31),25,AA2/(MAX(AA$2:AA$31)/25))),0)</f>
        <v>25</v>
      </c>
      <c r="AC2" s="6"/>
      <c r="AD2" s="21">
        <f t="shared" ref="AD2:AD31" si="6">ROUND(IF(IF(AC2=MAX(AC$2:AC$31),5,AC2/(MAX(AC$2:AC$31)/5))&lt;0,0,IF(AC2=MAX(AC$2:AC$31),5,AC2/(MAX(AC$2:AC$31)/5))),0)</f>
        <v>5</v>
      </c>
      <c r="AE2" s="6"/>
      <c r="AF2" s="6"/>
      <c r="AG2" s="6"/>
      <c r="AH2" s="6"/>
      <c r="AI2" s="6"/>
      <c r="AJ2" s="9"/>
      <c r="AK2" s="21">
        <f t="shared" ref="AK2:AK31" si="7">SUM(AE2:AI2)</f>
        <v>0</v>
      </c>
      <c r="AL2" s="21">
        <f t="shared" ref="AL2:AL31" si="8">ROUND(IF(IF(AK2=MAX(AK$2:AK$31),25,AK2/(MAX(AK$2:AK$31)/25))&lt;0,0,IF(AK2=MAX(AK$2:AK$31),25,AK2/(MAX(AK$2:AK$31)/25))),0)</f>
        <v>25</v>
      </c>
      <c r="AM2" s="6"/>
      <c r="AN2" s="21">
        <f t="shared" ref="AN2:AN31" si="9">ROUND(IF(IF(AM2=MAX(AM$2:AM$31),5,AM2/(MAX(AM$2:AM$31)/5))&lt;0,0,IF(AM2=MAX(AM$2:AM$31),5,AM2/(MAX(AM$2:AM$31)/5))),0)</f>
        <v>5</v>
      </c>
      <c r="AO2" s="21" t="e">
        <f t="shared" ref="AO2:AO31" si="10">M2+T2+AB2+AD2+AL2+AN2</f>
        <v>#REF!</v>
      </c>
      <c r="AP2" s="21" t="e">
        <f t="shared" ref="AP2:AP31" si="11">ROUND(IF(AO2=MAX(AO$2:AO$31),100,AO2*100/MAX(AO$2:AO$31)),0)</f>
        <v>#REF!</v>
      </c>
      <c r="AQ2" s="6"/>
      <c r="AR2" s="21" t="e">
        <f t="shared" ref="AR2:AR31" si="12">AP2+AQ2</f>
        <v>#REF!</v>
      </c>
    </row>
    <row r="3" spans="1:44">
      <c r="A3" s="18" t="e">
        <f>#REF!</f>
        <v>#REF!</v>
      </c>
      <c r="B3" s="19" t="e">
        <f>HYPERLINK(#REF!,RIGHT(#REF!,3))</f>
        <v>#REF!</v>
      </c>
      <c r="C3" s="20" t="e">
        <f>HYPERLINK(#REF!,SUBSTITUTE(#REF!,"https://coding.net/u/",""))</f>
        <v>#REF!</v>
      </c>
      <c r="D3" s="14" t="e">
        <f>HYPERLINK(#REF!,SUBSTITUTE(#REF!,"https://coding.net/",""))</f>
        <v>#REF!</v>
      </c>
      <c r="E3" s="8" t="e">
        <f>HYPERLINK(#REF!,VLOOKUP(A3,#REF!,6,FALSE))</f>
        <v>#REF!</v>
      </c>
      <c r="F3" s="6">
        <v>7</v>
      </c>
      <c r="G3" s="6">
        <v>7</v>
      </c>
      <c r="H3" s="6">
        <v>4</v>
      </c>
      <c r="I3" s="6">
        <v>7</v>
      </c>
      <c r="J3" s="6">
        <v>7</v>
      </c>
      <c r="K3" s="10"/>
      <c r="L3" s="21" t="e">
        <f t="shared" si="0"/>
        <v>#REF!</v>
      </c>
      <c r="M3" s="21" t="e">
        <f t="shared" si="1"/>
        <v>#REF!</v>
      </c>
      <c r="N3" s="6"/>
      <c r="O3" s="6"/>
      <c r="P3" s="6"/>
      <c r="Q3" s="6"/>
      <c r="R3" s="9"/>
      <c r="S3" s="21">
        <f t="shared" si="2"/>
        <v>0</v>
      </c>
      <c r="T3" s="21">
        <f t="shared" si="3"/>
        <v>20</v>
      </c>
      <c r="U3" s="6"/>
      <c r="V3" s="6"/>
      <c r="W3" s="6"/>
      <c r="X3" s="6"/>
      <c r="Y3" s="6"/>
      <c r="Z3" s="9"/>
      <c r="AA3" s="21">
        <f t="shared" si="4"/>
        <v>0</v>
      </c>
      <c r="AB3" s="21">
        <f t="shared" si="5"/>
        <v>25</v>
      </c>
      <c r="AC3" s="6"/>
      <c r="AD3" s="21">
        <f t="shared" si="6"/>
        <v>5</v>
      </c>
      <c r="AE3" s="6"/>
      <c r="AF3" s="6"/>
      <c r="AG3" s="6"/>
      <c r="AH3" s="6"/>
      <c r="AI3" s="6"/>
      <c r="AJ3" s="9"/>
      <c r="AK3" s="21">
        <f t="shared" si="7"/>
        <v>0</v>
      </c>
      <c r="AL3" s="21">
        <f t="shared" si="8"/>
        <v>25</v>
      </c>
      <c r="AM3" s="6"/>
      <c r="AN3" s="21">
        <f t="shared" si="9"/>
        <v>5</v>
      </c>
      <c r="AO3" s="21" t="e">
        <f t="shared" si="10"/>
        <v>#REF!</v>
      </c>
      <c r="AP3" s="21" t="e">
        <f t="shared" si="11"/>
        <v>#REF!</v>
      </c>
      <c r="AQ3" s="6"/>
      <c r="AR3" s="21" t="e">
        <f t="shared" si="12"/>
        <v>#REF!</v>
      </c>
    </row>
    <row r="4" spans="1:44">
      <c r="A4" s="18" t="e">
        <f>#REF!</f>
        <v>#REF!</v>
      </c>
      <c r="B4" s="19" t="e">
        <f>HYPERLINK(#REF!,RIGHT(#REF!,3))</f>
        <v>#REF!</v>
      </c>
      <c r="C4" s="20" t="e">
        <f>HYPERLINK(#REF!,SUBSTITUTE(#REF!,"https://coding.net/u/",""))</f>
        <v>#REF!</v>
      </c>
      <c r="D4" s="14" t="e">
        <f>HYPERLINK(#REF!,SUBSTITUTE(#REF!,"https://coding.net/",""))</f>
        <v>#REF!</v>
      </c>
      <c r="E4" s="8" t="e">
        <f>HYPERLINK(#REF!,VLOOKUP(A4,#REF!,6,FALSE))</f>
        <v>#REF!</v>
      </c>
      <c r="F4" s="6">
        <v>5</v>
      </c>
      <c r="G4" s="6">
        <v>10</v>
      </c>
      <c r="H4" s="6">
        <v>4</v>
      </c>
      <c r="I4" s="6">
        <v>4</v>
      </c>
      <c r="J4" s="6">
        <v>4</v>
      </c>
      <c r="K4" s="10"/>
      <c r="L4" s="21" t="e">
        <f t="shared" si="0"/>
        <v>#REF!</v>
      </c>
      <c r="M4" s="21" t="e">
        <f t="shared" si="1"/>
        <v>#REF!</v>
      </c>
      <c r="N4" s="6"/>
      <c r="O4" s="6"/>
      <c r="P4" s="6"/>
      <c r="Q4" s="6"/>
      <c r="R4" s="9"/>
      <c r="S4" s="21">
        <f t="shared" si="2"/>
        <v>0</v>
      </c>
      <c r="T4" s="21">
        <f t="shared" si="3"/>
        <v>20</v>
      </c>
      <c r="U4" s="6"/>
      <c r="V4" s="6"/>
      <c r="W4" s="6"/>
      <c r="X4" s="6"/>
      <c r="Y4" s="6"/>
      <c r="Z4" s="9"/>
      <c r="AA4" s="21">
        <f t="shared" si="4"/>
        <v>0</v>
      </c>
      <c r="AB4" s="21">
        <f t="shared" si="5"/>
        <v>25</v>
      </c>
      <c r="AC4" s="6"/>
      <c r="AD4" s="21">
        <f t="shared" si="6"/>
        <v>5</v>
      </c>
      <c r="AE4" s="6"/>
      <c r="AF4" s="6"/>
      <c r="AG4" s="6"/>
      <c r="AH4" s="6"/>
      <c r="AI4" s="6"/>
      <c r="AJ4" s="9"/>
      <c r="AK4" s="21">
        <f t="shared" si="7"/>
        <v>0</v>
      </c>
      <c r="AL4" s="21">
        <f t="shared" si="8"/>
        <v>25</v>
      </c>
      <c r="AM4" s="6"/>
      <c r="AN4" s="21">
        <f t="shared" si="9"/>
        <v>5</v>
      </c>
      <c r="AO4" s="21" t="e">
        <f t="shared" si="10"/>
        <v>#REF!</v>
      </c>
      <c r="AP4" s="21" t="e">
        <f t="shared" si="11"/>
        <v>#REF!</v>
      </c>
      <c r="AQ4" s="6"/>
      <c r="AR4" s="21" t="e">
        <f t="shared" si="12"/>
        <v>#REF!</v>
      </c>
    </row>
    <row r="5" spans="1:44">
      <c r="A5" s="18" t="e">
        <f>#REF!</f>
        <v>#REF!</v>
      </c>
      <c r="B5" s="19" t="e">
        <f>HYPERLINK(#REF!,RIGHT(#REF!,3))</f>
        <v>#REF!</v>
      </c>
      <c r="C5" s="20" t="e">
        <f>HYPERLINK(#REF!,SUBSTITUTE(#REF!,"https://coding.net/u/",""))</f>
        <v>#REF!</v>
      </c>
      <c r="D5" s="14" t="e">
        <f>HYPERLINK(#REF!,SUBSTITUTE(#REF!,"https://coding.net/",""))</f>
        <v>#REF!</v>
      </c>
      <c r="E5" s="8" t="e">
        <f>HYPERLINK(#REF!,VLOOKUP(A5,#REF!,6,FALSE))</f>
        <v>#REF!</v>
      </c>
      <c r="F5" s="6">
        <v>2</v>
      </c>
      <c r="G5" s="6">
        <v>7</v>
      </c>
      <c r="H5" s="6">
        <v>3</v>
      </c>
      <c r="I5" s="6">
        <v>7</v>
      </c>
      <c r="J5" s="6">
        <v>7</v>
      </c>
      <c r="K5" s="10"/>
      <c r="L5" s="21" t="e">
        <f t="shared" si="0"/>
        <v>#REF!</v>
      </c>
      <c r="M5" s="21" t="e">
        <f t="shared" si="1"/>
        <v>#REF!</v>
      </c>
      <c r="N5" s="6"/>
      <c r="O5" s="6"/>
      <c r="P5" s="6"/>
      <c r="Q5" s="6"/>
      <c r="R5" s="9"/>
      <c r="S5" s="21">
        <f t="shared" si="2"/>
        <v>0</v>
      </c>
      <c r="T5" s="21">
        <f t="shared" si="3"/>
        <v>20</v>
      </c>
      <c r="U5" s="6"/>
      <c r="V5" s="6"/>
      <c r="W5" s="6"/>
      <c r="X5" s="6"/>
      <c r="Y5" s="6"/>
      <c r="Z5" s="9"/>
      <c r="AA5" s="21">
        <f t="shared" si="4"/>
        <v>0</v>
      </c>
      <c r="AB5" s="21">
        <f t="shared" si="5"/>
        <v>25</v>
      </c>
      <c r="AC5" s="6"/>
      <c r="AD5" s="21">
        <f t="shared" si="6"/>
        <v>5</v>
      </c>
      <c r="AE5" s="6"/>
      <c r="AF5" s="6"/>
      <c r="AG5" s="6"/>
      <c r="AH5" s="6"/>
      <c r="AI5" s="6"/>
      <c r="AJ5" s="9"/>
      <c r="AK5" s="21">
        <f t="shared" si="7"/>
        <v>0</v>
      </c>
      <c r="AL5" s="21">
        <f t="shared" si="8"/>
        <v>25</v>
      </c>
      <c r="AM5" s="6"/>
      <c r="AN5" s="21">
        <f t="shared" si="9"/>
        <v>5</v>
      </c>
      <c r="AO5" s="21" t="e">
        <f t="shared" si="10"/>
        <v>#REF!</v>
      </c>
      <c r="AP5" s="21" t="e">
        <f t="shared" si="11"/>
        <v>#REF!</v>
      </c>
      <c r="AQ5" s="6"/>
      <c r="AR5" s="21" t="e">
        <f t="shared" si="12"/>
        <v>#REF!</v>
      </c>
    </row>
    <row r="6" spans="1:44">
      <c r="A6" s="18" t="e">
        <f>#REF!</f>
        <v>#REF!</v>
      </c>
      <c r="B6" s="19" t="e">
        <f>HYPERLINK(#REF!,RIGHT(#REF!,3))</f>
        <v>#REF!</v>
      </c>
      <c r="C6" s="20" t="e">
        <f>HYPERLINK(#REF!,SUBSTITUTE(#REF!,"https://coding.net/u/",""))</f>
        <v>#REF!</v>
      </c>
      <c r="D6" s="14" t="e">
        <f>HYPERLINK(#REF!,SUBSTITUTE(#REF!,"https://coding.net/",""))</f>
        <v>#REF!</v>
      </c>
      <c r="E6" s="8" t="e">
        <f>HYPERLINK(#REF!,VLOOKUP(A6,#REF!,6,FALSE))</f>
        <v>#REF!</v>
      </c>
      <c r="F6" s="6">
        <v>2</v>
      </c>
      <c r="G6" s="6">
        <v>7</v>
      </c>
      <c r="H6" s="6">
        <v>7</v>
      </c>
      <c r="I6" s="6">
        <v>7</v>
      </c>
      <c r="J6" s="6">
        <v>3</v>
      </c>
      <c r="K6" s="10"/>
      <c r="L6" s="21" t="e">
        <f t="shared" si="0"/>
        <v>#REF!</v>
      </c>
      <c r="M6" s="21" t="e">
        <f t="shared" si="1"/>
        <v>#REF!</v>
      </c>
      <c r="N6" s="6"/>
      <c r="O6" s="6"/>
      <c r="P6" s="6"/>
      <c r="Q6" s="6"/>
      <c r="R6" s="9"/>
      <c r="S6" s="21">
        <f t="shared" si="2"/>
        <v>0</v>
      </c>
      <c r="T6" s="21">
        <f t="shared" si="3"/>
        <v>20</v>
      </c>
      <c r="U6" s="6"/>
      <c r="V6" s="6"/>
      <c r="W6" s="6"/>
      <c r="X6" s="6"/>
      <c r="Y6" s="6"/>
      <c r="Z6" s="9"/>
      <c r="AA6" s="21">
        <f t="shared" si="4"/>
        <v>0</v>
      </c>
      <c r="AB6" s="21">
        <f t="shared" si="5"/>
        <v>25</v>
      </c>
      <c r="AC6" s="6"/>
      <c r="AD6" s="21">
        <f t="shared" si="6"/>
        <v>5</v>
      </c>
      <c r="AE6" s="6"/>
      <c r="AF6" s="6"/>
      <c r="AG6" s="6"/>
      <c r="AH6" s="6"/>
      <c r="AI6" s="6"/>
      <c r="AJ6" s="9"/>
      <c r="AK6" s="21">
        <f t="shared" si="7"/>
        <v>0</v>
      </c>
      <c r="AL6" s="21">
        <f t="shared" si="8"/>
        <v>25</v>
      </c>
      <c r="AM6" s="6"/>
      <c r="AN6" s="21">
        <f t="shared" si="9"/>
        <v>5</v>
      </c>
      <c r="AO6" s="21" t="e">
        <f t="shared" si="10"/>
        <v>#REF!</v>
      </c>
      <c r="AP6" s="21" t="e">
        <f t="shared" si="11"/>
        <v>#REF!</v>
      </c>
      <c r="AQ6" s="6"/>
      <c r="AR6" s="21" t="e">
        <f t="shared" si="12"/>
        <v>#REF!</v>
      </c>
    </row>
    <row r="7" spans="1:44">
      <c r="A7" s="18" t="e">
        <f>#REF!</f>
        <v>#REF!</v>
      </c>
      <c r="B7" s="19" t="e">
        <f>HYPERLINK(#REF!,RIGHT(#REF!,3))</f>
        <v>#REF!</v>
      </c>
      <c r="C7" s="20" t="e">
        <f>HYPERLINK(#REF!,SUBSTITUTE(#REF!,"https://coding.net/u/",""))</f>
        <v>#REF!</v>
      </c>
      <c r="D7" s="14" t="e">
        <f>HYPERLINK(#REF!,SUBSTITUTE(#REF!,"https://coding.net/",""))</f>
        <v>#REF!</v>
      </c>
      <c r="E7" s="8" t="e">
        <f>HYPERLINK(#REF!,VLOOKUP(A7,#REF!,6,FALSE))</f>
        <v>#REF!</v>
      </c>
      <c r="F7" s="6">
        <v>2</v>
      </c>
      <c r="G7" s="6">
        <v>7</v>
      </c>
      <c r="H7" s="6">
        <v>2</v>
      </c>
      <c r="I7" s="6">
        <v>7</v>
      </c>
      <c r="J7" s="6">
        <v>7</v>
      </c>
      <c r="K7" s="10"/>
      <c r="L7" s="21" t="e">
        <f t="shared" si="0"/>
        <v>#REF!</v>
      </c>
      <c r="M7" s="21" t="e">
        <f t="shared" si="1"/>
        <v>#REF!</v>
      </c>
      <c r="N7" s="6"/>
      <c r="O7" s="6"/>
      <c r="P7" s="6"/>
      <c r="Q7" s="6"/>
      <c r="R7" s="9"/>
      <c r="S7" s="21">
        <f t="shared" si="2"/>
        <v>0</v>
      </c>
      <c r="T7" s="21">
        <f t="shared" si="3"/>
        <v>20</v>
      </c>
      <c r="U7" s="6"/>
      <c r="V7" s="6"/>
      <c r="W7" s="6"/>
      <c r="X7" s="6"/>
      <c r="Y7" s="6"/>
      <c r="Z7" s="9"/>
      <c r="AA7" s="21">
        <f t="shared" si="4"/>
        <v>0</v>
      </c>
      <c r="AB7" s="21">
        <f t="shared" si="5"/>
        <v>25</v>
      </c>
      <c r="AC7" s="6"/>
      <c r="AD7" s="21">
        <f t="shared" si="6"/>
        <v>5</v>
      </c>
      <c r="AE7" s="6"/>
      <c r="AF7" s="6"/>
      <c r="AG7" s="6"/>
      <c r="AH7" s="6"/>
      <c r="AI7" s="6"/>
      <c r="AJ7" s="9"/>
      <c r="AK7" s="21">
        <f t="shared" si="7"/>
        <v>0</v>
      </c>
      <c r="AL7" s="21">
        <f t="shared" si="8"/>
        <v>25</v>
      </c>
      <c r="AM7" s="6"/>
      <c r="AN7" s="21">
        <f t="shared" si="9"/>
        <v>5</v>
      </c>
      <c r="AO7" s="21" t="e">
        <f t="shared" si="10"/>
        <v>#REF!</v>
      </c>
      <c r="AP7" s="21" t="e">
        <f t="shared" si="11"/>
        <v>#REF!</v>
      </c>
      <c r="AQ7" s="6"/>
      <c r="AR7" s="21" t="e">
        <f t="shared" si="12"/>
        <v>#REF!</v>
      </c>
    </row>
    <row r="8" spans="1:44">
      <c r="A8" s="18" t="e">
        <f>#REF!</f>
        <v>#REF!</v>
      </c>
      <c r="B8" s="19" t="e">
        <f>HYPERLINK(#REF!,RIGHT(#REF!,3))</f>
        <v>#REF!</v>
      </c>
      <c r="C8" s="20" t="e">
        <f>HYPERLINK(#REF!,SUBSTITUTE(#REF!,"https://coding.net/u/",""))</f>
        <v>#REF!</v>
      </c>
      <c r="D8" s="14" t="e">
        <f>HYPERLINK(#REF!,SUBSTITUTE(#REF!,"https://coding.net/",""))</f>
        <v>#REF!</v>
      </c>
      <c r="E8" s="8" t="e">
        <f>HYPERLINK(#REF!,VLOOKUP(A8,#REF!,6,FALSE))</f>
        <v>#REF!</v>
      </c>
      <c r="F8" s="6">
        <v>7</v>
      </c>
      <c r="G8" s="6">
        <v>4</v>
      </c>
      <c r="H8" s="6">
        <v>7</v>
      </c>
      <c r="I8" s="6">
        <v>7</v>
      </c>
      <c r="J8" s="6">
        <v>2</v>
      </c>
      <c r="K8" s="10"/>
      <c r="L8" s="21" t="e">
        <f t="shared" si="0"/>
        <v>#REF!</v>
      </c>
      <c r="M8" s="21" t="e">
        <f t="shared" si="1"/>
        <v>#REF!</v>
      </c>
      <c r="N8" s="6"/>
      <c r="O8" s="6"/>
      <c r="P8" s="6"/>
      <c r="Q8" s="6"/>
      <c r="R8" s="9"/>
      <c r="S8" s="21">
        <f t="shared" si="2"/>
        <v>0</v>
      </c>
      <c r="T8" s="21">
        <f t="shared" si="3"/>
        <v>20</v>
      </c>
      <c r="U8" s="6"/>
      <c r="V8" s="6"/>
      <c r="W8" s="6"/>
      <c r="X8" s="6"/>
      <c r="Y8" s="6"/>
      <c r="Z8" s="9"/>
      <c r="AA8" s="21">
        <f t="shared" si="4"/>
        <v>0</v>
      </c>
      <c r="AB8" s="21">
        <f t="shared" si="5"/>
        <v>25</v>
      </c>
      <c r="AC8" s="6"/>
      <c r="AD8" s="21">
        <f t="shared" si="6"/>
        <v>5</v>
      </c>
      <c r="AE8" s="6"/>
      <c r="AF8" s="6"/>
      <c r="AG8" s="6"/>
      <c r="AH8" s="6"/>
      <c r="AI8" s="6"/>
      <c r="AJ8" s="9"/>
      <c r="AK8" s="21">
        <f t="shared" si="7"/>
        <v>0</v>
      </c>
      <c r="AL8" s="21">
        <f t="shared" si="8"/>
        <v>25</v>
      </c>
      <c r="AM8" s="6"/>
      <c r="AN8" s="21">
        <f t="shared" si="9"/>
        <v>5</v>
      </c>
      <c r="AO8" s="21" t="e">
        <f t="shared" si="10"/>
        <v>#REF!</v>
      </c>
      <c r="AP8" s="21" t="e">
        <f t="shared" si="11"/>
        <v>#REF!</v>
      </c>
      <c r="AQ8" s="6"/>
      <c r="AR8" s="21" t="e">
        <f t="shared" si="12"/>
        <v>#REF!</v>
      </c>
    </row>
    <row r="9" spans="1:44">
      <c r="A9" s="18" t="e">
        <f>#REF!</f>
        <v>#REF!</v>
      </c>
      <c r="B9" s="19" t="e">
        <f>HYPERLINK(#REF!,RIGHT(#REF!,3))</f>
        <v>#REF!</v>
      </c>
      <c r="C9" s="20" t="e">
        <f>HYPERLINK(#REF!,SUBSTITUTE(#REF!,"https://coding.net/u/",""))</f>
        <v>#REF!</v>
      </c>
      <c r="D9" s="14" t="e">
        <f>HYPERLINK(#REF!,SUBSTITUTE(#REF!,"https://coding.net/",""))</f>
        <v>#REF!</v>
      </c>
      <c r="E9" s="8" t="e">
        <f>HYPERLINK(#REF!,VLOOKUP(A9,#REF!,6,FALSE))</f>
        <v>#REF!</v>
      </c>
      <c r="F9" s="6">
        <v>4</v>
      </c>
      <c r="G9" s="6">
        <v>7</v>
      </c>
      <c r="H9" s="6">
        <v>4</v>
      </c>
      <c r="I9" s="6">
        <v>7</v>
      </c>
      <c r="J9" s="6">
        <v>2</v>
      </c>
      <c r="K9" s="10"/>
      <c r="L9" s="21" t="e">
        <f t="shared" si="0"/>
        <v>#REF!</v>
      </c>
      <c r="M9" s="21" t="e">
        <f t="shared" si="1"/>
        <v>#REF!</v>
      </c>
      <c r="N9" s="6"/>
      <c r="O9" s="6"/>
      <c r="P9" s="6"/>
      <c r="Q9" s="6"/>
      <c r="R9" s="9"/>
      <c r="S9" s="21">
        <f t="shared" si="2"/>
        <v>0</v>
      </c>
      <c r="T9" s="21">
        <f t="shared" si="3"/>
        <v>20</v>
      </c>
      <c r="U9" s="6"/>
      <c r="V9" s="6"/>
      <c r="W9" s="6"/>
      <c r="X9" s="6"/>
      <c r="Y9" s="6"/>
      <c r="Z9" s="9"/>
      <c r="AA9" s="21">
        <f t="shared" si="4"/>
        <v>0</v>
      </c>
      <c r="AB9" s="21">
        <f t="shared" si="5"/>
        <v>25</v>
      </c>
      <c r="AC9" s="6"/>
      <c r="AD9" s="21">
        <f t="shared" si="6"/>
        <v>5</v>
      </c>
      <c r="AE9" s="6"/>
      <c r="AF9" s="6"/>
      <c r="AG9" s="6"/>
      <c r="AH9" s="6"/>
      <c r="AI9" s="6"/>
      <c r="AJ9" s="9"/>
      <c r="AK9" s="21">
        <f t="shared" si="7"/>
        <v>0</v>
      </c>
      <c r="AL9" s="21">
        <f t="shared" si="8"/>
        <v>25</v>
      </c>
      <c r="AM9" s="6"/>
      <c r="AN9" s="21">
        <f t="shared" si="9"/>
        <v>5</v>
      </c>
      <c r="AO9" s="21" t="e">
        <f t="shared" si="10"/>
        <v>#REF!</v>
      </c>
      <c r="AP9" s="21" t="e">
        <f t="shared" si="11"/>
        <v>#REF!</v>
      </c>
      <c r="AQ9" s="6"/>
      <c r="AR9" s="21" t="e">
        <f t="shared" si="12"/>
        <v>#REF!</v>
      </c>
    </row>
    <row r="10" spans="1:44">
      <c r="A10" s="18" t="e">
        <f>#REF!</f>
        <v>#REF!</v>
      </c>
      <c r="B10" s="19" t="e">
        <f>HYPERLINK(#REF!,RIGHT(#REF!,3))</f>
        <v>#REF!</v>
      </c>
      <c r="C10" s="20" t="e">
        <f>HYPERLINK(#REF!,SUBSTITUTE(#REF!,"https://coding.net/u/",""))</f>
        <v>#REF!</v>
      </c>
      <c r="D10" s="14" t="e">
        <f>HYPERLINK(#REF!,SUBSTITUTE(#REF!,"https://coding.net/",""))</f>
        <v>#REF!</v>
      </c>
      <c r="E10" s="8" t="e">
        <f>HYPERLINK(#REF!,VLOOKUP(A10,#REF!,6,FALSE))</f>
        <v>#REF!</v>
      </c>
      <c r="F10" s="6">
        <v>3</v>
      </c>
      <c r="G10" s="6">
        <v>10</v>
      </c>
      <c r="H10" s="6">
        <v>2</v>
      </c>
      <c r="I10" s="6">
        <v>2</v>
      </c>
      <c r="J10" s="6">
        <v>7</v>
      </c>
      <c r="K10" s="10"/>
      <c r="L10" s="21" t="e">
        <f t="shared" si="0"/>
        <v>#REF!</v>
      </c>
      <c r="M10" s="21" t="e">
        <f t="shared" si="1"/>
        <v>#REF!</v>
      </c>
      <c r="N10" s="6"/>
      <c r="O10" s="6"/>
      <c r="P10" s="6"/>
      <c r="Q10" s="6"/>
      <c r="R10" s="9"/>
      <c r="S10" s="21">
        <f t="shared" si="2"/>
        <v>0</v>
      </c>
      <c r="T10" s="21">
        <f t="shared" si="3"/>
        <v>20</v>
      </c>
      <c r="U10" s="6"/>
      <c r="V10" s="6"/>
      <c r="W10" s="6"/>
      <c r="X10" s="6"/>
      <c r="Y10" s="6"/>
      <c r="Z10" s="9"/>
      <c r="AA10" s="21">
        <f t="shared" si="4"/>
        <v>0</v>
      </c>
      <c r="AB10" s="21">
        <f t="shared" si="5"/>
        <v>25</v>
      </c>
      <c r="AC10" s="6"/>
      <c r="AD10" s="21">
        <f t="shared" si="6"/>
        <v>5</v>
      </c>
      <c r="AE10" s="6"/>
      <c r="AF10" s="6"/>
      <c r="AG10" s="6"/>
      <c r="AH10" s="6"/>
      <c r="AI10" s="6"/>
      <c r="AJ10" s="9"/>
      <c r="AK10" s="21">
        <f t="shared" si="7"/>
        <v>0</v>
      </c>
      <c r="AL10" s="21">
        <f t="shared" si="8"/>
        <v>25</v>
      </c>
      <c r="AM10" s="6"/>
      <c r="AN10" s="21">
        <f t="shared" si="9"/>
        <v>5</v>
      </c>
      <c r="AO10" s="21" t="e">
        <f t="shared" si="10"/>
        <v>#REF!</v>
      </c>
      <c r="AP10" s="21" t="e">
        <f t="shared" si="11"/>
        <v>#REF!</v>
      </c>
      <c r="AQ10" s="6"/>
      <c r="AR10" s="21" t="e">
        <f t="shared" si="12"/>
        <v>#REF!</v>
      </c>
    </row>
    <row r="11" spans="1:44">
      <c r="A11" s="18" t="e">
        <f>#REF!</f>
        <v>#REF!</v>
      </c>
      <c r="B11" s="19" t="e">
        <f>HYPERLINK(#REF!,RIGHT(#REF!,3))</f>
        <v>#REF!</v>
      </c>
      <c r="C11" s="20" t="e">
        <f>HYPERLINK(#REF!,SUBSTITUTE(#REF!,"https://coding.net/u/",""))</f>
        <v>#REF!</v>
      </c>
      <c r="D11" s="14" t="e">
        <f>HYPERLINK(#REF!,SUBSTITUTE(#REF!,"https://coding.net/",""))</f>
        <v>#REF!</v>
      </c>
      <c r="E11" s="8" t="e">
        <f>HYPERLINK(#REF!,VLOOKUP(A11,#REF!,6,FALSE))</f>
        <v>#REF!</v>
      </c>
      <c r="F11" s="6">
        <v>7</v>
      </c>
      <c r="G11" s="6">
        <v>7</v>
      </c>
      <c r="H11" s="6">
        <v>2</v>
      </c>
      <c r="I11" s="6">
        <v>3</v>
      </c>
      <c r="J11" s="6">
        <v>7</v>
      </c>
      <c r="K11" s="10"/>
      <c r="L11" s="21" t="e">
        <f t="shared" si="0"/>
        <v>#REF!</v>
      </c>
      <c r="M11" s="21" t="e">
        <f t="shared" si="1"/>
        <v>#REF!</v>
      </c>
      <c r="N11" s="6"/>
      <c r="O11" s="6"/>
      <c r="P11" s="6"/>
      <c r="Q11" s="6"/>
      <c r="R11" s="9"/>
      <c r="S11" s="21">
        <f t="shared" si="2"/>
        <v>0</v>
      </c>
      <c r="T11" s="21">
        <f t="shared" si="3"/>
        <v>20</v>
      </c>
      <c r="U11" s="6"/>
      <c r="V11" s="6"/>
      <c r="W11" s="6"/>
      <c r="X11" s="6"/>
      <c r="Y11" s="6"/>
      <c r="Z11" s="9"/>
      <c r="AA11" s="21">
        <f t="shared" si="4"/>
        <v>0</v>
      </c>
      <c r="AB11" s="21">
        <f t="shared" si="5"/>
        <v>25</v>
      </c>
      <c r="AC11" s="6"/>
      <c r="AD11" s="21">
        <f t="shared" si="6"/>
        <v>5</v>
      </c>
      <c r="AE11" s="6"/>
      <c r="AF11" s="6"/>
      <c r="AG11" s="6"/>
      <c r="AH11" s="6"/>
      <c r="AI11" s="6"/>
      <c r="AJ11" s="9"/>
      <c r="AK11" s="21">
        <f t="shared" si="7"/>
        <v>0</v>
      </c>
      <c r="AL11" s="21">
        <f t="shared" si="8"/>
        <v>25</v>
      </c>
      <c r="AM11" s="6"/>
      <c r="AN11" s="21">
        <f t="shared" si="9"/>
        <v>5</v>
      </c>
      <c r="AO11" s="21" t="e">
        <f t="shared" si="10"/>
        <v>#REF!</v>
      </c>
      <c r="AP11" s="21" t="e">
        <f t="shared" si="11"/>
        <v>#REF!</v>
      </c>
      <c r="AQ11" s="6"/>
      <c r="AR11" s="21" t="e">
        <f t="shared" si="12"/>
        <v>#REF!</v>
      </c>
    </row>
    <row r="12" spans="1:44">
      <c r="A12" s="18" t="e">
        <f>#REF!</f>
        <v>#REF!</v>
      </c>
      <c r="B12" s="19" t="e">
        <f>HYPERLINK(#REF!,RIGHT(#REF!,3))</f>
        <v>#REF!</v>
      </c>
      <c r="C12" s="20" t="e">
        <f>HYPERLINK(#REF!,SUBSTITUTE(#REF!,"https://coding.net/u/",""))</f>
        <v>#REF!</v>
      </c>
      <c r="D12" s="14" t="e">
        <f>HYPERLINK(#REF!,SUBSTITUTE(#REF!,"https://coding.net/",""))</f>
        <v>#REF!</v>
      </c>
      <c r="E12" s="8" t="e">
        <f>HYPERLINK(#REF!,VLOOKUP(A12,#REF!,6,FALSE))</f>
        <v>#REF!</v>
      </c>
      <c r="F12" s="6">
        <v>7</v>
      </c>
      <c r="G12" s="6">
        <v>7</v>
      </c>
      <c r="H12" s="6">
        <v>2</v>
      </c>
      <c r="I12" s="6">
        <v>7</v>
      </c>
      <c r="J12" s="6">
        <v>3</v>
      </c>
      <c r="K12" s="10"/>
      <c r="L12" s="21" t="e">
        <f t="shared" si="0"/>
        <v>#REF!</v>
      </c>
      <c r="M12" s="21" t="e">
        <f t="shared" si="1"/>
        <v>#REF!</v>
      </c>
      <c r="N12" s="6"/>
      <c r="O12" s="6"/>
      <c r="P12" s="6"/>
      <c r="Q12" s="6"/>
      <c r="R12" s="9"/>
      <c r="S12" s="21">
        <f t="shared" si="2"/>
        <v>0</v>
      </c>
      <c r="T12" s="21">
        <f t="shared" si="3"/>
        <v>20</v>
      </c>
      <c r="U12" s="6"/>
      <c r="V12" s="6"/>
      <c r="W12" s="6"/>
      <c r="X12" s="6"/>
      <c r="Y12" s="6"/>
      <c r="Z12" s="9"/>
      <c r="AA12" s="21">
        <f t="shared" si="4"/>
        <v>0</v>
      </c>
      <c r="AB12" s="21">
        <f t="shared" si="5"/>
        <v>25</v>
      </c>
      <c r="AC12" s="6"/>
      <c r="AD12" s="21">
        <f t="shared" si="6"/>
        <v>5</v>
      </c>
      <c r="AE12" s="6"/>
      <c r="AF12" s="6"/>
      <c r="AG12" s="6"/>
      <c r="AH12" s="6"/>
      <c r="AI12" s="6"/>
      <c r="AJ12" s="9"/>
      <c r="AK12" s="21">
        <f t="shared" si="7"/>
        <v>0</v>
      </c>
      <c r="AL12" s="21">
        <f t="shared" si="8"/>
        <v>25</v>
      </c>
      <c r="AM12" s="6"/>
      <c r="AN12" s="21">
        <f t="shared" si="9"/>
        <v>5</v>
      </c>
      <c r="AO12" s="21" t="e">
        <f t="shared" si="10"/>
        <v>#REF!</v>
      </c>
      <c r="AP12" s="21" t="e">
        <f t="shared" si="11"/>
        <v>#REF!</v>
      </c>
      <c r="AQ12" s="6"/>
      <c r="AR12" s="21" t="e">
        <f t="shared" si="12"/>
        <v>#REF!</v>
      </c>
    </row>
    <row r="13" spans="1:44">
      <c r="A13" s="18" t="e">
        <f>#REF!</f>
        <v>#REF!</v>
      </c>
      <c r="B13" s="19" t="e">
        <f>HYPERLINK(#REF!,RIGHT(#REF!,3))</f>
        <v>#REF!</v>
      </c>
      <c r="C13" s="20" t="e">
        <f>HYPERLINK(#REF!,SUBSTITUTE(#REF!,"https://coding.net/u/",""))</f>
        <v>#REF!</v>
      </c>
      <c r="D13" s="14" t="e">
        <f>HYPERLINK(#REF!,SUBSTITUTE(#REF!,"https://coding.net/",""))</f>
        <v>#REF!</v>
      </c>
      <c r="E13" s="8" t="e">
        <f>HYPERLINK(#REF!,VLOOKUP(A13,#REF!,6,FALSE))</f>
        <v>#REF!</v>
      </c>
      <c r="F13" s="6">
        <v>2</v>
      </c>
      <c r="G13" s="6">
        <v>4</v>
      </c>
      <c r="H13" s="6">
        <v>6</v>
      </c>
      <c r="I13" s="6">
        <v>3</v>
      </c>
      <c r="J13" s="6">
        <v>3</v>
      </c>
      <c r="K13" s="10"/>
      <c r="L13" s="21" t="e">
        <f t="shared" si="0"/>
        <v>#REF!</v>
      </c>
      <c r="M13" s="21" t="e">
        <f t="shared" si="1"/>
        <v>#REF!</v>
      </c>
      <c r="N13" s="6"/>
      <c r="O13" s="6"/>
      <c r="P13" s="6"/>
      <c r="Q13" s="6"/>
      <c r="R13" s="9"/>
      <c r="S13" s="21">
        <f t="shared" si="2"/>
        <v>0</v>
      </c>
      <c r="T13" s="21">
        <f t="shared" si="3"/>
        <v>20</v>
      </c>
      <c r="U13" s="6"/>
      <c r="V13" s="6"/>
      <c r="W13" s="6"/>
      <c r="X13" s="6"/>
      <c r="Y13" s="6"/>
      <c r="Z13" s="9"/>
      <c r="AA13" s="21">
        <f t="shared" si="4"/>
        <v>0</v>
      </c>
      <c r="AB13" s="21">
        <f t="shared" si="5"/>
        <v>25</v>
      </c>
      <c r="AC13" s="6"/>
      <c r="AD13" s="21">
        <f t="shared" si="6"/>
        <v>5</v>
      </c>
      <c r="AE13" s="6"/>
      <c r="AF13" s="6"/>
      <c r="AG13" s="6"/>
      <c r="AH13" s="6"/>
      <c r="AI13" s="6"/>
      <c r="AJ13" s="9"/>
      <c r="AK13" s="21">
        <f t="shared" si="7"/>
        <v>0</v>
      </c>
      <c r="AL13" s="21">
        <f t="shared" si="8"/>
        <v>25</v>
      </c>
      <c r="AM13" s="6"/>
      <c r="AN13" s="21">
        <f t="shared" si="9"/>
        <v>5</v>
      </c>
      <c r="AO13" s="21" t="e">
        <f t="shared" si="10"/>
        <v>#REF!</v>
      </c>
      <c r="AP13" s="21" t="e">
        <f t="shared" si="11"/>
        <v>#REF!</v>
      </c>
      <c r="AQ13" s="6"/>
      <c r="AR13" s="21" t="e">
        <f t="shared" si="12"/>
        <v>#REF!</v>
      </c>
    </row>
    <row r="14" spans="1:44">
      <c r="A14" s="18" t="e">
        <f>#REF!</f>
        <v>#REF!</v>
      </c>
      <c r="B14" s="19" t="e">
        <f>HYPERLINK(#REF!,RIGHT(#REF!,3))</f>
        <v>#REF!</v>
      </c>
      <c r="C14" s="20" t="e">
        <f>HYPERLINK(#REF!,SUBSTITUTE(#REF!,"https://coding.net/u/",""))</f>
        <v>#REF!</v>
      </c>
      <c r="D14" s="14" t="e">
        <f>HYPERLINK(#REF!,SUBSTITUTE(#REF!,"https://coding.net/",""))</f>
        <v>#REF!</v>
      </c>
      <c r="E14" s="8" t="e">
        <f>HYPERLINK(#REF!,VLOOKUP(A14,#REF!,6,FALSE))</f>
        <v>#REF!</v>
      </c>
      <c r="F14" s="6">
        <v>7</v>
      </c>
      <c r="G14" s="6">
        <v>7</v>
      </c>
      <c r="H14" s="6">
        <v>3</v>
      </c>
      <c r="I14" s="6">
        <v>3</v>
      </c>
      <c r="J14" s="6">
        <v>3</v>
      </c>
      <c r="K14" s="10"/>
      <c r="L14" s="21" t="e">
        <f t="shared" si="0"/>
        <v>#REF!</v>
      </c>
      <c r="M14" s="21" t="e">
        <f t="shared" si="1"/>
        <v>#REF!</v>
      </c>
      <c r="N14" s="6"/>
      <c r="O14" s="6"/>
      <c r="P14" s="6"/>
      <c r="Q14" s="6"/>
      <c r="R14" s="9"/>
      <c r="S14" s="21">
        <f t="shared" si="2"/>
        <v>0</v>
      </c>
      <c r="T14" s="21">
        <f t="shared" si="3"/>
        <v>20</v>
      </c>
      <c r="U14" s="6"/>
      <c r="V14" s="6"/>
      <c r="W14" s="6"/>
      <c r="X14" s="6"/>
      <c r="Y14" s="6"/>
      <c r="Z14" s="9"/>
      <c r="AA14" s="21">
        <f t="shared" si="4"/>
        <v>0</v>
      </c>
      <c r="AB14" s="21">
        <f t="shared" si="5"/>
        <v>25</v>
      </c>
      <c r="AC14" s="6"/>
      <c r="AD14" s="21">
        <f t="shared" si="6"/>
        <v>5</v>
      </c>
      <c r="AE14" s="6"/>
      <c r="AF14" s="6"/>
      <c r="AG14" s="6"/>
      <c r="AH14" s="6"/>
      <c r="AI14" s="6"/>
      <c r="AJ14" s="9"/>
      <c r="AK14" s="21">
        <f t="shared" si="7"/>
        <v>0</v>
      </c>
      <c r="AL14" s="21">
        <f t="shared" si="8"/>
        <v>25</v>
      </c>
      <c r="AM14" s="6"/>
      <c r="AN14" s="21">
        <f t="shared" si="9"/>
        <v>5</v>
      </c>
      <c r="AO14" s="21" t="e">
        <f t="shared" si="10"/>
        <v>#REF!</v>
      </c>
      <c r="AP14" s="21" t="e">
        <f t="shared" si="11"/>
        <v>#REF!</v>
      </c>
      <c r="AQ14" s="6"/>
      <c r="AR14" s="21" t="e">
        <f t="shared" si="12"/>
        <v>#REF!</v>
      </c>
    </row>
    <row r="15" spans="1:44">
      <c r="A15" s="18" t="e">
        <f>#REF!</f>
        <v>#REF!</v>
      </c>
      <c r="B15" s="19" t="e">
        <f>HYPERLINK(#REF!,RIGHT(#REF!,3))</f>
        <v>#REF!</v>
      </c>
      <c r="C15" s="20" t="e">
        <f>HYPERLINK(#REF!,SUBSTITUTE(#REF!,"https://coding.net/u/",""))</f>
        <v>#REF!</v>
      </c>
      <c r="D15" s="14" t="e">
        <f>HYPERLINK(#REF!,SUBSTITUTE(#REF!,"https://coding.net/",""))</f>
        <v>#REF!</v>
      </c>
      <c r="E15" s="8" t="e">
        <f>HYPERLINK(#REF!,VLOOKUP(A15,#REF!,6,FALSE))</f>
        <v>#REF!</v>
      </c>
      <c r="F15" s="6">
        <v>1</v>
      </c>
      <c r="G15" s="6">
        <v>7</v>
      </c>
      <c r="H15" s="6">
        <v>7</v>
      </c>
      <c r="I15" s="6">
        <v>1</v>
      </c>
      <c r="J15" s="6">
        <v>7</v>
      </c>
      <c r="K15" s="10"/>
      <c r="L15" s="21" t="e">
        <f t="shared" si="0"/>
        <v>#REF!</v>
      </c>
      <c r="M15" s="21" t="e">
        <f t="shared" si="1"/>
        <v>#REF!</v>
      </c>
      <c r="N15" s="6"/>
      <c r="O15" s="6"/>
      <c r="P15" s="6"/>
      <c r="Q15" s="6"/>
      <c r="R15" s="9"/>
      <c r="S15" s="21">
        <f t="shared" si="2"/>
        <v>0</v>
      </c>
      <c r="T15" s="21">
        <f t="shared" si="3"/>
        <v>20</v>
      </c>
      <c r="U15" s="6"/>
      <c r="V15" s="6"/>
      <c r="W15" s="6"/>
      <c r="X15" s="6"/>
      <c r="Y15" s="6"/>
      <c r="Z15" s="9"/>
      <c r="AA15" s="21">
        <f t="shared" si="4"/>
        <v>0</v>
      </c>
      <c r="AB15" s="21">
        <f t="shared" si="5"/>
        <v>25</v>
      </c>
      <c r="AC15" s="6"/>
      <c r="AD15" s="21">
        <f t="shared" si="6"/>
        <v>5</v>
      </c>
      <c r="AE15" s="6"/>
      <c r="AF15" s="6"/>
      <c r="AG15" s="6"/>
      <c r="AH15" s="6"/>
      <c r="AI15" s="6"/>
      <c r="AJ15" s="9"/>
      <c r="AK15" s="21">
        <f t="shared" si="7"/>
        <v>0</v>
      </c>
      <c r="AL15" s="21">
        <f t="shared" si="8"/>
        <v>25</v>
      </c>
      <c r="AM15" s="6"/>
      <c r="AN15" s="21">
        <f t="shared" si="9"/>
        <v>5</v>
      </c>
      <c r="AO15" s="21" t="e">
        <f t="shared" si="10"/>
        <v>#REF!</v>
      </c>
      <c r="AP15" s="21" t="e">
        <f t="shared" si="11"/>
        <v>#REF!</v>
      </c>
      <c r="AQ15" s="6"/>
      <c r="AR15" s="21" t="e">
        <f t="shared" si="12"/>
        <v>#REF!</v>
      </c>
    </row>
    <row r="16" spans="1:44">
      <c r="A16" s="18" t="e">
        <f>#REF!</f>
        <v>#REF!</v>
      </c>
      <c r="B16" s="19" t="e">
        <f>HYPERLINK(#REF!,RIGHT(#REF!,3))</f>
        <v>#REF!</v>
      </c>
      <c r="C16" s="20" t="e">
        <f>HYPERLINK(#REF!,SUBSTITUTE(#REF!,"https://coding.net/u/",""))</f>
        <v>#REF!</v>
      </c>
      <c r="D16" s="14" t="e">
        <f>HYPERLINK(#REF!,SUBSTITUTE(#REF!,"https://coding.net/",""))</f>
        <v>#REF!</v>
      </c>
      <c r="E16" s="8" t="e">
        <f>HYPERLINK(#REF!,VLOOKUP(A16,#REF!,6,FALSE))</f>
        <v>#REF!</v>
      </c>
      <c r="F16" s="6">
        <v>2</v>
      </c>
      <c r="G16" s="6">
        <v>2</v>
      </c>
      <c r="H16" s="6">
        <v>4</v>
      </c>
      <c r="I16" s="6">
        <v>4</v>
      </c>
      <c r="J16" s="6">
        <v>4</v>
      </c>
      <c r="K16" s="10"/>
      <c r="L16" s="21" t="e">
        <f t="shared" si="0"/>
        <v>#REF!</v>
      </c>
      <c r="M16" s="21" t="e">
        <f t="shared" si="1"/>
        <v>#REF!</v>
      </c>
      <c r="N16" s="6"/>
      <c r="O16" s="6"/>
      <c r="P16" s="6"/>
      <c r="Q16" s="6"/>
      <c r="R16" s="9"/>
      <c r="S16" s="21">
        <f t="shared" si="2"/>
        <v>0</v>
      </c>
      <c r="T16" s="21">
        <f t="shared" si="3"/>
        <v>20</v>
      </c>
      <c r="U16" s="6"/>
      <c r="V16" s="6"/>
      <c r="W16" s="6"/>
      <c r="X16" s="6"/>
      <c r="Y16" s="6"/>
      <c r="Z16" s="9"/>
      <c r="AA16" s="21">
        <f t="shared" si="4"/>
        <v>0</v>
      </c>
      <c r="AB16" s="21">
        <f t="shared" si="5"/>
        <v>25</v>
      </c>
      <c r="AC16" s="6"/>
      <c r="AD16" s="21">
        <f t="shared" si="6"/>
        <v>5</v>
      </c>
      <c r="AE16" s="6"/>
      <c r="AF16" s="6"/>
      <c r="AG16" s="6"/>
      <c r="AH16" s="6"/>
      <c r="AI16" s="6"/>
      <c r="AJ16" s="9"/>
      <c r="AK16" s="21">
        <f t="shared" si="7"/>
        <v>0</v>
      </c>
      <c r="AL16" s="21">
        <f t="shared" si="8"/>
        <v>25</v>
      </c>
      <c r="AM16" s="6"/>
      <c r="AN16" s="21">
        <f t="shared" si="9"/>
        <v>5</v>
      </c>
      <c r="AO16" s="21" t="e">
        <f t="shared" si="10"/>
        <v>#REF!</v>
      </c>
      <c r="AP16" s="21" t="e">
        <f t="shared" si="11"/>
        <v>#REF!</v>
      </c>
      <c r="AQ16" s="6"/>
      <c r="AR16" s="21" t="e">
        <f t="shared" si="12"/>
        <v>#REF!</v>
      </c>
    </row>
    <row r="17" spans="1:44">
      <c r="A17" s="18" t="e">
        <f>#REF!</f>
        <v>#REF!</v>
      </c>
      <c r="B17" s="19" t="e">
        <f>HYPERLINK(#REF!,RIGHT(#REF!,3))</f>
        <v>#REF!</v>
      </c>
      <c r="C17" s="20" t="e">
        <f>HYPERLINK(#REF!,SUBSTITUTE(#REF!,"https://coding.net/u/",""))</f>
        <v>#REF!</v>
      </c>
      <c r="D17" s="14" t="e">
        <f>HYPERLINK(#REF!,SUBSTITUTE(#REF!,"https://coding.net/",""))</f>
        <v>#REF!</v>
      </c>
      <c r="E17" s="8" t="e">
        <f>HYPERLINK(#REF!,VLOOKUP(A17,#REF!,6,FALSE))</f>
        <v>#REF!</v>
      </c>
      <c r="F17" s="6">
        <v>4</v>
      </c>
      <c r="G17" s="6">
        <v>4</v>
      </c>
      <c r="H17" s="6">
        <v>4</v>
      </c>
      <c r="I17" s="6">
        <v>2</v>
      </c>
      <c r="J17" s="7">
        <v>4</v>
      </c>
      <c r="K17" s="10"/>
      <c r="L17" s="21" t="e">
        <f t="shared" si="0"/>
        <v>#REF!</v>
      </c>
      <c r="M17" s="21" t="e">
        <f t="shared" si="1"/>
        <v>#REF!</v>
      </c>
      <c r="N17" s="6"/>
      <c r="O17" s="6"/>
      <c r="P17" s="6"/>
      <c r="Q17" s="6"/>
      <c r="R17" s="9"/>
      <c r="S17" s="21">
        <f t="shared" si="2"/>
        <v>0</v>
      </c>
      <c r="T17" s="21">
        <f t="shared" si="3"/>
        <v>20</v>
      </c>
      <c r="U17" s="6"/>
      <c r="V17" s="6"/>
      <c r="W17" s="6"/>
      <c r="X17" s="6"/>
      <c r="Y17" s="6"/>
      <c r="Z17" s="9"/>
      <c r="AA17" s="21">
        <f t="shared" si="4"/>
        <v>0</v>
      </c>
      <c r="AB17" s="21">
        <f t="shared" si="5"/>
        <v>25</v>
      </c>
      <c r="AC17" s="6"/>
      <c r="AD17" s="21">
        <f t="shared" si="6"/>
        <v>5</v>
      </c>
      <c r="AE17" s="6"/>
      <c r="AF17" s="6"/>
      <c r="AG17" s="6"/>
      <c r="AH17" s="6"/>
      <c r="AI17" s="6"/>
      <c r="AJ17" s="9"/>
      <c r="AK17" s="21">
        <f t="shared" si="7"/>
        <v>0</v>
      </c>
      <c r="AL17" s="21">
        <f t="shared" si="8"/>
        <v>25</v>
      </c>
      <c r="AM17" s="6"/>
      <c r="AN17" s="21">
        <f t="shared" si="9"/>
        <v>5</v>
      </c>
      <c r="AO17" s="21" t="e">
        <f t="shared" si="10"/>
        <v>#REF!</v>
      </c>
      <c r="AP17" s="21" t="e">
        <f t="shared" si="11"/>
        <v>#REF!</v>
      </c>
      <c r="AQ17" s="6"/>
      <c r="AR17" s="21" t="e">
        <f t="shared" si="12"/>
        <v>#REF!</v>
      </c>
    </row>
    <row r="18" spans="1:44">
      <c r="A18" s="18" t="e">
        <f>#REF!</f>
        <v>#REF!</v>
      </c>
      <c r="B18" s="19" t="e">
        <f>HYPERLINK(#REF!,RIGHT(#REF!,3))</f>
        <v>#REF!</v>
      </c>
      <c r="C18" s="20" t="e">
        <f>HYPERLINK(#REF!,SUBSTITUTE(#REF!,"https://coding.net/u/",""))</f>
        <v>#REF!</v>
      </c>
      <c r="D18" s="14" t="e">
        <f>HYPERLINK(#REF!,SUBSTITUTE(#REF!,"https://coding.net/",""))</f>
        <v>#REF!</v>
      </c>
      <c r="E18" s="8" t="e">
        <f>HYPERLINK(#REF!,VLOOKUP(A18,#REF!,6,FALSE))</f>
        <v>#REF!</v>
      </c>
      <c r="F18" s="6">
        <v>7</v>
      </c>
      <c r="G18" s="6">
        <v>2</v>
      </c>
      <c r="H18" s="6">
        <v>3</v>
      </c>
      <c r="I18" s="6">
        <v>4</v>
      </c>
      <c r="J18" s="6">
        <v>3</v>
      </c>
      <c r="K18" s="10"/>
      <c r="L18" s="21" t="e">
        <f t="shared" si="0"/>
        <v>#REF!</v>
      </c>
      <c r="M18" s="21" t="e">
        <f t="shared" si="1"/>
        <v>#REF!</v>
      </c>
      <c r="N18" s="6"/>
      <c r="O18" s="6"/>
      <c r="P18" s="6"/>
      <c r="Q18" s="6"/>
      <c r="R18" s="9"/>
      <c r="S18" s="21">
        <f t="shared" si="2"/>
        <v>0</v>
      </c>
      <c r="T18" s="21">
        <f t="shared" si="3"/>
        <v>20</v>
      </c>
      <c r="U18" s="6"/>
      <c r="V18" s="6"/>
      <c r="W18" s="6"/>
      <c r="X18" s="6"/>
      <c r="Y18" s="6"/>
      <c r="Z18" s="9"/>
      <c r="AA18" s="21">
        <f t="shared" si="4"/>
        <v>0</v>
      </c>
      <c r="AB18" s="21">
        <f t="shared" si="5"/>
        <v>25</v>
      </c>
      <c r="AC18" s="6"/>
      <c r="AD18" s="21">
        <f t="shared" si="6"/>
        <v>5</v>
      </c>
      <c r="AE18" s="6"/>
      <c r="AF18" s="6"/>
      <c r="AG18" s="6"/>
      <c r="AH18" s="6"/>
      <c r="AI18" s="6"/>
      <c r="AJ18" s="9"/>
      <c r="AK18" s="21">
        <f t="shared" si="7"/>
        <v>0</v>
      </c>
      <c r="AL18" s="21">
        <f t="shared" si="8"/>
        <v>25</v>
      </c>
      <c r="AM18" s="6"/>
      <c r="AN18" s="21">
        <f t="shared" si="9"/>
        <v>5</v>
      </c>
      <c r="AO18" s="21" t="e">
        <f t="shared" si="10"/>
        <v>#REF!</v>
      </c>
      <c r="AP18" s="21" t="e">
        <f t="shared" si="11"/>
        <v>#REF!</v>
      </c>
      <c r="AQ18" s="6"/>
      <c r="AR18" s="21" t="e">
        <f t="shared" si="12"/>
        <v>#REF!</v>
      </c>
    </row>
    <row r="19" spans="1:44">
      <c r="A19" s="18" t="e">
        <f>#REF!</f>
        <v>#REF!</v>
      </c>
      <c r="B19" s="19" t="e">
        <f>HYPERLINK(#REF!,RIGHT(#REF!,3))</f>
        <v>#REF!</v>
      </c>
      <c r="C19" s="20" t="e">
        <f>HYPERLINK(#REF!,SUBSTITUTE(#REF!,"https://coding.net/u/",""))</f>
        <v>#REF!</v>
      </c>
      <c r="D19" s="14" t="e">
        <f>HYPERLINK(#REF!,SUBSTITUTE(#REF!,"https://coding.net/",""))</f>
        <v>#REF!</v>
      </c>
      <c r="E19" s="8" t="e">
        <f>HYPERLINK(#REF!,VLOOKUP(A19,#REF!,6,FALSE))</f>
        <v>#REF!</v>
      </c>
      <c r="F19" s="6">
        <v>7</v>
      </c>
      <c r="G19" s="6">
        <v>7</v>
      </c>
      <c r="H19" s="6">
        <v>2</v>
      </c>
      <c r="I19" s="6">
        <v>3</v>
      </c>
      <c r="J19" s="6">
        <v>3</v>
      </c>
      <c r="K19" s="10"/>
      <c r="L19" s="21" t="e">
        <f t="shared" si="0"/>
        <v>#REF!</v>
      </c>
      <c r="M19" s="21" t="e">
        <f t="shared" si="1"/>
        <v>#REF!</v>
      </c>
      <c r="N19" s="6"/>
      <c r="O19" s="6"/>
      <c r="P19" s="6"/>
      <c r="Q19" s="6"/>
      <c r="R19" s="9"/>
      <c r="S19" s="21">
        <f t="shared" si="2"/>
        <v>0</v>
      </c>
      <c r="T19" s="21">
        <f t="shared" si="3"/>
        <v>20</v>
      </c>
      <c r="U19" s="6"/>
      <c r="V19" s="6"/>
      <c r="W19" s="6"/>
      <c r="X19" s="6"/>
      <c r="Y19" s="6"/>
      <c r="Z19" s="9"/>
      <c r="AA19" s="21">
        <f t="shared" si="4"/>
        <v>0</v>
      </c>
      <c r="AB19" s="21">
        <f t="shared" si="5"/>
        <v>25</v>
      </c>
      <c r="AC19" s="6"/>
      <c r="AD19" s="21">
        <f t="shared" si="6"/>
        <v>5</v>
      </c>
      <c r="AE19" s="6"/>
      <c r="AF19" s="6"/>
      <c r="AG19" s="6"/>
      <c r="AH19" s="6"/>
      <c r="AI19" s="6"/>
      <c r="AJ19" s="9"/>
      <c r="AK19" s="21">
        <f t="shared" si="7"/>
        <v>0</v>
      </c>
      <c r="AL19" s="21">
        <f t="shared" si="8"/>
        <v>25</v>
      </c>
      <c r="AM19" s="6"/>
      <c r="AN19" s="21">
        <f t="shared" si="9"/>
        <v>5</v>
      </c>
      <c r="AO19" s="21" t="e">
        <f t="shared" si="10"/>
        <v>#REF!</v>
      </c>
      <c r="AP19" s="21" t="e">
        <f t="shared" si="11"/>
        <v>#REF!</v>
      </c>
      <c r="AQ19" s="6"/>
      <c r="AR19" s="21" t="e">
        <f t="shared" si="12"/>
        <v>#REF!</v>
      </c>
    </row>
    <row r="20" spans="1:44">
      <c r="A20" s="18" t="e">
        <f>#REF!</f>
        <v>#REF!</v>
      </c>
      <c r="B20" s="19" t="e">
        <f>HYPERLINK(#REF!,RIGHT(#REF!,3))</f>
        <v>#REF!</v>
      </c>
      <c r="C20" s="20" t="e">
        <f>HYPERLINK(#REF!,SUBSTITUTE(#REF!,"https://coding.net/u/",""))</f>
        <v>#REF!</v>
      </c>
      <c r="D20" s="14" t="e">
        <f>HYPERLINK(#REF!,SUBSTITUTE(#REF!,"https://coding.net/",""))</f>
        <v>#REF!</v>
      </c>
      <c r="E20" s="8" t="e">
        <f>HYPERLINK(#REF!,VLOOKUP(A20,#REF!,6,FALSE))</f>
        <v>#REF!</v>
      </c>
      <c r="F20" s="6">
        <v>3</v>
      </c>
      <c r="G20" s="6">
        <v>7</v>
      </c>
      <c r="H20" s="6">
        <v>3</v>
      </c>
      <c r="I20" s="6">
        <v>3</v>
      </c>
      <c r="J20" s="6">
        <v>2</v>
      </c>
      <c r="K20" s="10"/>
      <c r="L20" s="21" t="e">
        <f t="shared" si="0"/>
        <v>#REF!</v>
      </c>
      <c r="M20" s="21" t="e">
        <f t="shared" si="1"/>
        <v>#REF!</v>
      </c>
      <c r="N20" s="6"/>
      <c r="O20" s="6"/>
      <c r="P20" s="6"/>
      <c r="Q20" s="6"/>
      <c r="R20" s="9"/>
      <c r="S20" s="21">
        <f t="shared" si="2"/>
        <v>0</v>
      </c>
      <c r="T20" s="21">
        <f t="shared" si="3"/>
        <v>20</v>
      </c>
      <c r="U20" s="6"/>
      <c r="V20" s="6"/>
      <c r="W20" s="6"/>
      <c r="X20" s="6"/>
      <c r="Y20" s="6"/>
      <c r="Z20" s="9"/>
      <c r="AA20" s="21">
        <f t="shared" si="4"/>
        <v>0</v>
      </c>
      <c r="AB20" s="21">
        <f t="shared" si="5"/>
        <v>25</v>
      </c>
      <c r="AC20" s="6"/>
      <c r="AD20" s="21">
        <f t="shared" si="6"/>
        <v>5</v>
      </c>
      <c r="AE20" s="6"/>
      <c r="AF20" s="6"/>
      <c r="AG20" s="6"/>
      <c r="AH20" s="6"/>
      <c r="AI20" s="6"/>
      <c r="AJ20" s="9"/>
      <c r="AK20" s="21">
        <f t="shared" si="7"/>
        <v>0</v>
      </c>
      <c r="AL20" s="21">
        <f t="shared" si="8"/>
        <v>25</v>
      </c>
      <c r="AM20" s="6"/>
      <c r="AN20" s="21">
        <f t="shared" si="9"/>
        <v>5</v>
      </c>
      <c r="AO20" s="21" t="e">
        <f t="shared" si="10"/>
        <v>#REF!</v>
      </c>
      <c r="AP20" s="21" t="e">
        <f t="shared" si="11"/>
        <v>#REF!</v>
      </c>
      <c r="AQ20" s="6"/>
      <c r="AR20" s="21" t="e">
        <f t="shared" si="12"/>
        <v>#REF!</v>
      </c>
    </row>
    <row r="21" spans="1:44">
      <c r="A21" s="18" t="e">
        <f>#REF!</f>
        <v>#REF!</v>
      </c>
      <c r="B21" s="19" t="e">
        <f>HYPERLINK(#REF!,RIGHT(#REF!,3))</f>
        <v>#REF!</v>
      </c>
      <c r="C21" s="20" t="e">
        <f>HYPERLINK(#REF!,SUBSTITUTE(#REF!,"https://coding.net/u/",""))</f>
        <v>#REF!</v>
      </c>
      <c r="D21" s="14" t="e">
        <f>HYPERLINK(#REF!,SUBSTITUTE(#REF!,"https://coding.net/",""))</f>
        <v>#REF!</v>
      </c>
      <c r="E21" s="8" t="e">
        <f>HYPERLINK(#REF!,VLOOKUP(A21,#REF!,6,FALSE))</f>
        <v>#REF!</v>
      </c>
      <c r="F21" s="6">
        <v>1</v>
      </c>
      <c r="G21" s="6">
        <v>1</v>
      </c>
      <c r="H21" s="6">
        <v>7</v>
      </c>
      <c r="I21" s="6">
        <v>2</v>
      </c>
      <c r="J21" s="6">
        <v>7</v>
      </c>
      <c r="K21" s="10"/>
      <c r="L21" s="21" t="e">
        <f t="shared" si="0"/>
        <v>#REF!</v>
      </c>
      <c r="M21" s="21" t="e">
        <f t="shared" si="1"/>
        <v>#REF!</v>
      </c>
      <c r="N21" s="6"/>
      <c r="O21" s="6"/>
      <c r="P21" s="6"/>
      <c r="Q21" s="6"/>
      <c r="R21" s="9"/>
      <c r="S21" s="21">
        <f t="shared" si="2"/>
        <v>0</v>
      </c>
      <c r="T21" s="21">
        <f t="shared" si="3"/>
        <v>20</v>
      </c>
      <c r="U21" s="6"/>
      <c r="V21" s="6"/>
      <c r="W21" s="6"/>
      <c r="X21" s="6"/>
      <c r="Y21" s="6"/>
      <c r="Z21" s="9"/>
      <c r="AA21" s="21">
        <f t="shared" si="4"/>
        <v>0</v>
      </c>
      <c r="AB21" s="21">
        <f t="shared" si="5"/>
        <v>25</v>
      </c>
      <c r="AC21" s="6"/>
      <c r="AD21" s="21">
        <f t="shared" si="6"/>
        <v>5</v>
      </c>
      <c r="AE21" s="6"/>
      <c r="AF21" s="6"/>
      <c r="AG21" s="6"/>
      <c r="AH21" s="6"/>
      <c r="AI21" s="6"/>
      <c r="AJ21" s="9"/>
      <c r="AK21" s="21">
        <f t="shared" si="7"/>
        <v>0</v>
      </c>
      <c r="AL21" s="21">
        <f t="shared" si="8"/>
        <v>25</v>
      </c>
      <c r="AM21" s="6"/>
      <c r="AN21" s="21">
        <f t="shared" si="9"/>
        <v>5</v>
      </c>
      <c r="AO21" s="21" t="e">
        <f t="shared" si="10"/>
        <v>#REF!</v>
      </c>
      <c r="AP21" s="21" t="e">
        <f t="shared" si="11"/>
        <v>#REF!</v>
      </c>
      <c r="AQ21" s="6"/>
      <c r="AR21" s="21" t="e">
        <f t="shared" si="12"/>
        <v>#REF!</v>
      </c>
    </row>
    <row r="22" spans="1:44">
      <c r="A22" s="18" t="e">
        <f>#REF!</f>
        <v>#REF!</v>
      </c>
      <c r="B22" s="19" t="e">
        <f>HYPERLINK(#REF!,RIGHT(#REF!,3))</f>
        <v>#REF!</v>
      </c>
      <c r="C22" s="20" t="e">
        <f>HYPERLINK(#REF!,SUBSTITUTE(#REF!,"https://coding.net/u/",""))</f>
        <v>#REF!</v>
      </c>
      <c r="D22" s="14" t="e">
        <f>HYPERLINK(#REF!,SUBSTITUTE(#REF!,"https://coding.net/",""))</f>
        <v>#REF!</v>
      </c>
      <c r="E22" s="8" t="e">
        <f>HYPERLINK(#REF!,VLOOKUP(A22,#REF!,6,FALSE))</f>
        <v>#REF!</v>
      </c>
      <c r="F22" s="6">
        <v>1</v>
      </c>
      <c r="G22" s="6">
        <v>3</v>
      </c>
      <c r="H22" s="6">
        <v>2</v>
      </c>
      <c r="I22" s="6">
        <v>6</v>
      </c>
      <c r="J22" s="6">
        <v>4</v>
      </c>
      <c r="K22" s="10"/>
      <c r="L22" s="21" t="e">
        <f t="shared" si="0"/>
        <v>#REF!</v>
      </c>
      <c r="M22" s="21" t="e">
        <f t="shared" si="1"/>
        <v>#REF!</v>
      </c>
      <c r="N22" s="6"/>
      <c r="O22" s="6"/>
      <c r="P22" s="6"/>
      <c r="Q22" s="6"/>
      <c r="R22" s="9"/>
      <c r="S22" s="21">
        <f t="shared" si="2"/>
        <v>0</v>
      </c>
      <c r="T22" s="21">
        <f t="shared" si="3"/>
        <v>20</v>
      </c>
      <c r="U22" s="6"/>
      <c r="V22" s="6"/>
      <c r="W22" s="6"/>
      <c r="X22" s="6"/>
      <c r="Y22" s="6"/>
      <c r="Z22" s="9"/>
      <c r="AA22" s="21">
        <f t="shared" si="4"/>
        <v>0</v>
      </c>
      <c r="AB22" s="21">
        <f t="shared" si="5"/>
        <v>25</v>
      </c>
      <c r="AC22" s="6"/>
      <c r="AD22" s="21">
        <f t="shared" si="6"/>
        <v>5</v>
      </c>
      <c r="AE22" s="6"/>
      <c r="AF22" s="6"/>
      <c r="AG22" s="6"/>
      <c r="AH22" s="6"/>
      <c r="AI22" s="6"/>
      <c r="AJ22" s="9"/>
      <c r="AK22" s="21">
        <f t="shared" si="7"/>
        <v>0</v>
      </c>
      <c r="AL22" s="21">
        <f t="shared" si="8"/>
        <v>25</v>
      </c>
      <c r="AM22" s="6"/>
      <c r="AN22" s="21">
        <f t="shared" si="9"/>
        <v>5</v>
      </c>
      <c r="AO22" s="21" t="e">
        <f t="shared" si="10"/>
        <v>#REF!</v>
      </c>
      <c r="AP22" s="21" t="e">
        <f t="shared" si="11"/>
        <v>#REF!</v>
      </c>
      <c r="AQ22" s="6"/>
      <c r="AR22" s="21" t="e">
        <f t="shared" si="12"/>
        <v>#REF!</v>
      </c>
    </row>
    <row r="23" spans="1:44">
      <c r="A23" s="18" t="e">
        <f>#REF!</f>
        <v>#REF!</v>
      </c>
      <c r="B23" s="19" t="e">
        <f>HYPERLINK(#REF!,RIGHT(#REF!,3))</f>
        <v>#REF!</v>
      </c>
      <c r="C23" s="20" t="e">
        <f>HYPERLINK(#REF!,SUBSTITUTE(#REF!,"https://coding.net/u/",""))</f>
        <v>#REF!</v>
      </c>
      <c r="D23" s="14" t="e">
        <f>HYPERLINK(#REF!,SUBSTITUTE(#REF!,"https://coding.net/",""))</f>
        <v>#REF!</v>
      </c>
      <c r="E23" s="8" t="e">
        <f>HYPERLINK(#REF!,VLOOKUP(A23,#REF!,6,FALSE))</f>
        <v>#REF!</v>
      </c>
      <c r="F23" s="6">
        <v>2</v>
      </c>
      <c r="G23" s="6">
        <v>4</v>
      </c>
      <c r="H23" s="6">
        <v>4</v>
      </c>
      <c r="I23" s="6">
        <v>2</v>
      </c>
      <c r="J23" s="6">
        <v>4</v>
      </c>
      <c r="K23" s="10"/>
      <c r="L23" s="21" t="e">
        <f t="shared" si="0"/>
        <v>#REF!</v>
      </c>
      <c r="M23" s="21" t="e">
        <f t="shared" si="1"/>
        <v>#REF!</v>
      </c>
      <c r="N23" s="6"/>
      <c r="O23" s="6"/>
      <c r="P23" s="6"/>
      <c r="Q23" s="6"/>
      <c r="R23" s="9"/>
      <c r="S23" s="21">
        <f t="shared" si="2"/>
        <v>0</v>
      </c>
      <c r="T23" s="21">
        <f t="shared" si="3"/>
        <v>20</v>
      </c>
      <c r="U23" s="6"/>
      <c r="V23" s="6"/>
      <c r="W23" s="6"/>
      <c r="X23" s="6"/>
      <c r="Y23" s="6"/>
      <c r="Z23" s="9"/>
      <c r="AA23" s="21">
        <f t="shared" si="4"/>
        <v>0</v>
      </c>
      <c r="AB23" s="21">
        <f t="shared" si="5"/>
        <v>25</v>
      </c>
      <c r="AC23" s="6"/>
      <c r="AD23" s="21">
        <f t="shared" si="6"/>
        <v>5</v>
      </c>
      <c r="AE23" s="6"/>
      <c r="AF23" s="6"/>
      <c r="AG23" s="6"/>
      <c r="AH23" s="6"/>
      <c r="AI23" s="6"/>
      <c r="AJ23" s="9"/>
      <c r="AK23" s="21">
        <f t="shared" si="7"/>
        <v>0</v>
      </c>
      <c r="AL23" s="21">
        <f t="shared" si="8"/>
        <v>25</v>
      </c>
      <c r="AM23" s="6"/>
      <c r="AN23" s="21">
        <f t="shared" si="9"/>
        <v>5</v>
      </c>
      <c r="AO23" s="21" t="e">
        <f t="shared" si="10"/>
        <v>#REF!</v>
      </c>
      <c r="AP23" s="21" t="e">
        <f t="shared" si="11"/>
        <v>#REF!</v>
      </c>
      <c r="AQ23" s="6"/>
      <c r="AR23" s="21" t="e">
        <f t="shared" si="12"/>
        <v>#REF!</v>
      </c>
    </row>
    <row r="24" spans="1:44">
      <c r="A24" s="18" t="e">
        <f>#REF!</f>
        <v>#REF!</v>
      </c>
      <c r="B24" s="19" t="e">
        <f>HYPERLINK(#REF!,RIGHT(#REF!,3))</f>
        <v>#REF!</v>
      </c>
      <c r="C24" s="20" t="e">
        <f>HYPERLINK(#REF!,SUBSTITUTE(#REF!,"https://coding.net/u/",""))</f>
        <v>#REF!</v>
      </c>
      <c r="D24" s="14" t="e">
        <f>HYPERLINK(#REF!,SUBSTITUTE(#REF!,"https://coding.net/",""))</f>
        <v>#REF!</v>
      </c>
      <c r="E24" s="8" t="e">
        <f>HYPERLINK(#REF!,VLOOKUP(A24,#REF!,6,FALSE))</f>
        <v>#REF!</v>
      </c>
      <c r="F24" s="6">
        <v>4</v>
      </c>
      <c r="G24" s="6">
        <v>7</v>
      </c>
      <c r="H24" s="6">
        <v>3</v>
      </c>
      <c r="I24" s="6">
        <v>2</v>
      </c>
      <c r="J24" s="6">
        <v>2</v>
      </c>
      <c r="K24" s="10"/>
      <c r="L24" s="21" t="e">
        <f t="shared" si="0"/>
        <v>#REF!</v>
      </c>
      <c r="M24" s="21" t="e">
        <f t="shared" si="1"/>
        <v>#REF!</v>
      </c>
      <c r="N24" s="6"/>
      <c r="O24" s="6"/>
      <c r="P24" s="6"/>
      <c r="Q24" s="6"/>
      <c r="R24" s="9"/>
      <c r="S24" s="21">
        <f t="shared" si="2"/>
        <v>0</v>
      </c>
      <c r="T24" s="21">
        <f t="shared" si="3"/>
        <v>20</v>
      </c>
      <c r="U24" s="6"/>
      <c r="V24" s="6"/>
      <c r="W24" s="6"/>
      <c r="X24" s="6"/>
      <c r="Y24" s="6"/>
      <c r="Z24" s="9"/>
      <c r="AA24" s="21">
        <f t="shared" si="4"/>
        <v>0</v>
      </c>
      <c r="AB24" s="21">
        <f t="shared" si="5"/>
        <v>25</v>
      </c>
      <c r="AC24" s="6"/>
      <c r="AD24" s="21">
        <f t="shared" si="6"/>
        <v>5</v>
      </c>
      <c r="AE24" s="6"/>
      <c r="AF24" s="6"/>
      <c r="AG24" s="6"/>
      <c r="AH24" s="6"/>
      <c r="AI24" s="6"/>
      <c r="AJ24" s="9"/>
      <c r="AK24" s="21">
        <f t="shared" si="7"/>
        <v>0</v>
      </c>
      <c r="AL24" s="21">
        <f t="shared" si="8"/>
        <v>25</v>
      </c>
      <c r="AM24" s="6"/>
      <c r="AN24" s="21">
        <f t="shared" si="9"/>
        <v>5</v>
      </c>
      <c r="AO24" s="21" t="e">
        <f t="shared" si="10"/>
        <v>#REF!</v>
      </c>
      <c r="AP24" s="21" t="e">
        <f t="shared" si="11"/>
        <v>#REF!</v>
      </c>
      <c r="AQ24" s="6"/>
      <c r="AR24" s="21" t="e">
        <f t="shared" si="12"/>
        <v>#REF!</v>
      </c>
    </row>
    <row r="25" spans="1:44">
      <c r="A25" s="18" t="e">
        <f>#REF!</f>
        <v>#REF!</v>
      </c>
      <c r="B25" s="19" t="e">
        <f>HYPERLINK(#REF!,RIGHT(#REF!,3))</f>
        <v>#REF!</v>
      </c>
      <c r="C25" s="20" t="e">
        <f>HYPERLINK(#REF!,SUBSTITUTE(#REF!,"https://coding.net/u/",""))</f>
        <v>#REF!</v>
      </c>
      <c r="D25" s="14" t="e">
        <f>HYPERLINK(#REF!,SUBSTITUTE(#REF!,"https://coding.net/",""))</f>
        <v>#REF!</v>
      </c>
      <c r="E25" s="8" t="e">
        <f>HYPERLINK(#REF!,VLOOKUP(A25,#REF!,6,FALSE))</f>
        <v>#REF!</v>
      </c>
      <c r="F25" s="6">
        <v>2</v>
      </c>
      <c r="G25" s="6">
        <v>5</v>
      </c>
      <c r="H25" s="6">
        <v>2</v>
      </c>
      <c r="I25" s="6">
        <v>3</v>
      </c>
      <c r="J25" s="6">
        <v>4</v>
      </c>
      <c r="K25" s="10"/>
      <c r="L25" s="21" t="e">
        <f t="shared" si="0"/>
        <v>#REF!</v>
      </c>
      <c r="M25" s="21" t="e">
        <f t="shared" si="1"/>
        <v>#REF!</v>
      </c>
      <c r="N25" s="6"/>
      <c r="O25" s="6"/>
      <c r="P25" s="6"/>
      <c r="Q25" s="6"/>
      <c r="R25" s="9"/>
      <c r="S25" s="21">
        <f t="shared" si="2"/>
        <v>0</v>
      </c>
      <c r="T25" s="21">
        <f t="shared" si="3"/>
        <v>20</v>
      </c>
      <c r="U25" s="6"/>
      <c r="V25" s="6"/>
      <c r="W25" s="6"/>
      <c r="X25" s="6"/>
      <c r="Y25" s="6"/>
      <c r="Z25" s="9"/>
      <c r="AA25" s="21">
        <f t="shared" si="4"/>
        <v>0</v>
      </c>
      <c r="AB25" s="21">
        <f t="shared" si="5"/>
        <v>25</v>
      </c>
      <c r="AC25" s="6"/>
      <c r="AD25" s="21">
        <f t="shared" si="6"/>
        <v>5</v>
      </c>
      <c r="AE25" s="6"/>
      <c r="AF25" s="6"/>
      <c r="AG25" s="6"/>
      <c r="AH25" s="6"/>
      <c r="AI25" s="6"/>
      <c r="AJ25" s="9"/>
      <c r="AK25" s="21">
        <f t="shared" si="7"/>
        <v>0</v>
      </c>
      <c r="AL25" s="21">
        <f t="shared" si="8"/>
        <v>25</v>
      </c>
      <c r="AM25" s="6"/>
      <c r="AN25" s="21">
        <f t="shared" si="9"/>
        <v>5</v>
      </c>
      <c r="AO25" s="21" t="e">
        <f t="shared" si="10"/>
        <v>#REF!</v>
      </c>
      <c r="AP25" s="21" t="e">
        <f t="shared" si="11"/>
        <v>#REF!</v>
      </c>
      <c r="AQ25" s="6"/>
      <c r="AR25" s="21" t="e">
        <f t="shared" si="12"/>
        <v>#REF!</v>
      </c>
    </row>
    <row r="26" spans="1:44">
      <c r="A26" s="18" t="e">
        <f>#REF!</f>
        <v>#REF!</v>
      </c>
      <c r="B26" s="19" t="e">
        <f>HYPERLINK(#REF!,RIGHT(#REF!,3))</f>
        <v>#REF!</v>
      </c>
      <c r="C26" s="20" t="e">
        <f>HYPERLINK(#REF!,SUBSTITUTE(#REF!,"https://coding.net/u/",""))</f>
        <v>#REF!</v>
      </c>
      <c r="D26" s="14" t="e">
        <f>HYPERLINK(#REF!,SUBSTITUTE(#REF!,"https://coding.net/",""))</f>
        <v>#REF!</v>
      </c>
      <c r="E26" s="8" t="e">
        <f>HYPERLINK(#REF!,VLOOKUP(A26,#REF!,6,FALSE))</f>
        <v>#REF!</v>
      </c>
      <c r="F26" s="6">
        <v>1</v>
      </c>
      <c r="G26" s="6">
        <v>2</v>
      </c>
      <c r="H26" s="6">
        <v>5</v>
      </c>
      <c r="I26" s="6">
        <v>2</v>
      </c>
      <c r="J26" s="6">
        <v>4</v>
      </c>
      <c r="K26" s="10"/>
      <c r="L26" s="21" t="e">
        <f t="shared" si="0"/>
        <v>#REF!</v>
      </c>
      <c r="M26" s="21" t="e">
        <f t="shared" si="1"/>
        <v>#REF!</v>
      </c>
      <c r="N26" s="6"/>
      <c r="O26" s="6"/>
      <c r="P26" s="6"/>
      <c r="Q26" s="6"/>
      <c r="R26" s="9"/>
      <c r="S26" s="21">
        <f t="shared" si="2"/>
        <v>0</v>
      </c>
      <c r="T26" s="21">
        <f t="shared" si="3"/>
        <v>20</v>
      </c>
      <c r="U26" s="6"/>
      <c r="V26" s="6"/>
      <c r="W26" s="6"/>
      <c r="X26" s="6"/>
      <c r="Y26" s="6"/>
      <c r="Z26" s="9"/>
      <c r="AA26" s="21">
        <f t="shared" si="4"/>
        <v>0</v>
      </c>
      <c r="AB26" s="21">
        <f t="shared" si="5"/>
        <v>25</v>
      </c>
      <c r="AC26" s="6"/>
      <c r="AD26" s="21">
        <f t="shared" si="6"/>
        <v>5</v>
      </c>
      <c r="AE26" s="6"/>
      <c r="AF26" s="6"/>
      <c r="AG26" s="6"/>
      <c r="AH26" s="6"/>
      <c r="AI26" s="6"/>
      <c r="AJ26" s="9"/>
      <c r="AK26" s="21">
        <f t="shared" si="7"/>
        <v>0</v>
      </c>
      <c r="AL26" s="21">
        <f t="shared" si="8"/>
        <v>25</v>
      </c>
      <c r="AM26" s="6"/>
      <c r="AN26" s="21">
        <f t="shared" si="9"/>
        <v>5</v>
      </c>
      <c r="AO26" s="21" t="e">
        <f t="shared" si="10"/>
        <v>#REF!</v>
      </c>
      <c r="AP26" s="21" t="e">
        <f t="shared" si="11"/>
        <v>#REF!</v>
      </c>
      <c r="AQ26" s="6"/>
      <c r="AR26" s="21" t="e">
        <f t="shared" si="12"/>
        <v>#REF!</v>
      </c>
    </row>
    <row r="27" spans="1:44">
      <c r="A27" s="18" t="e">
        <f>#REF!</f>
        <v>#REF!</v>
      </c>
      <c r="B27" s="19" t="e">
        <f>HYPERLINK(#REF!,RIGHT(#REF!,3))</f>
        <v>#REF!</v>
      </c>
      <c r="C27" s="20" t="e">
        <f>HYPERLINK(#REF!,SUBSTITUTE(#REF!,"https://coding.net/u/",""))</f>
        <v>#REF!</v>
      </c>
      <c r="D27" s="14" t="e">
        <f>HYPERLINK(#REF!,SUBSTITUTE(#REF!,"https://coding.net/",""))</f>
        <v>#REF!</v>
      </c>
      <c r="E27" s="8" t="e">
        <f>HYPERLINK(#REF!,VLOOKUP(A27,#REF!,6,FALSE))</f>
        <v>#REF!</v>
      </c>
      <c r="F27" s="6">
        <v>4</v>
      </c>
      <c r="G27" s="6">
        <v>2</v>
      </c>
      <c r="H27" s="6">
        <v>3</v>
      </c>
      <c r="I27" s="6">
        <v>2</v>
      </c>
      <c r="J27" s="6">
        <v>3</v>
      </c>
      <c r="K27" s="10"/>
      <c r="L27" s="21" t="e">
        <f t="shared" si="0"/>
        <v>#REF!</v>
      </c>
      <c r="M27" s="21" t="e">
        <f t="shared" si="1"/>
        <v>#REF!</v>
      </c>
      <c r="N27" s="6"/>
      <c r="O27" s="6"/>
      <c r="P27" s="6"/>
      <c r="Q27" s="6"/>
      <c r="R27" s="9"/>
      <c r="S27" s="21">
        <f t="shared" si="2"/>
        <v>0</v>
      </c>
      <c r="T27" s="21">
        <f t="shared" si="3"/>
        <v>20</v>
      </c>
      <c r="U27" s="6"/>
      <c r="V27" s="6"/>
      <c r="W27" s="6"/>
      <c r="X27" s="6"/>
      <c r="Y27" s="6"/>
      <c r="Z27" s="9"/>
      <c r="AA27" s="21">
        <f t="shared" si="4"/>
        <v>0</v>
      </c>
      <c r="AB27" s="21">
        <f t="shared" si="5"/>
        <v>25</v>
      </c>
      <c r="AC27" s="6"/>
      <c r="AD27" s="21">
        <f t="shared" si="6"/>
        <v>5</v>
      </c>
      <c r="AE27" s="6"/>
      <c r="AF27" s="6"/>
      <c r="AG27" s="6"/>
      <c r="AH27" s="6"/>
      <c r="AI27" s="6"/>
      <c r="AJ27" s="9"/>
      <c r="AK27" s="21">
        <f t="shared" si="7"/>
        <v>0</v>
      </c>
      <c r="AL27" s="21">
        <f t="shared" si="8"/>
        <v>25</v>
      </c>
      <c r="AM27" s="6"/>
      <c r="AN27" s="21">
        <f t="shared" si="9"/>
        <v>5</v>
      </c>
      <c r="AO27" s="21" t="e">
        <f t="shared" si="10"/>
        <v>#REF!</v>
      </c>
      <c r="AP27" s="21" t="e">
        <f t="shared" si="11"/>
        <v>#REF!</v>
      </c>
      <c r="AQ27" s="6"/>
      <c r="AR27" s="21" t="e">
        <f t="shared" si="12"/>
        <v>#REF!</v>
      </c>
    </row>
    <row r="28" spans="1:44">
      <c r="A28" s="18" t="e">
        <f>#REF!</f>
        <v>#REF!</v>
      </c>
      <c r="B28" s="19" t="e">
        <f>HYPERLINK(#REF!,RIGHT(#REF!,3))</f>
        <v>#REF!</v>
      </c>
      <c r="C28" s="20" t="e">
        <f>HYPERLINK(#REF!,SUBSTITUTE(#REF!,"https://coding.net/u/",""))</f>
        <v>#REF!</v>
      </c>
      <c r="D28" s="14" t="e">
        <f>HYPERLINK(#REF!,SUBSTITUTE(#REF!,"https://coding.net/",""))</f>
        <v>#REF!</v>
      </c>
      <c r="E28" s="8" t="e">
        <f>HYPERLINK(#REF!,VLOOKUP(A28,#REF!,6,FALSE))</f>
        <v>#REF!</v>
      </c>
      <c r="F28" s="6">
        <v>1</v>
      </c>
      <c r="G28" s="6">
        <v>1</v>
      </c>
      <c r="H28" s="6">
        <v>2</v>
      </c>
      <c r="I28" s="6">
        <v>2</v>
      </c>
      <c r="J28" s="6">
        <v>3</v>
      </c>
      <c r="K28" s="10"/>
      <c r="L28" s="21" t="e">
        <f t="shared" si="0"/>
        <v>#REF!</v>
      </c>
      <c r="M28" s="21" t="e">
        <f t="shared" si="1"/>
        <v>#REF!</v>
      </c>
      <c r="N28" s="6"/>
      <c r="O28" s="6"/>
      <c r="P28" s="6"/>
      <c r="Q28" s="6"/>
      <c r="R28" s="9"/>
      <c r="S28" s="21">
        <f t="shared" si="2"/>
        <v>0</v>
      </c>
      <c r="T28" s="21">
        <f t="shared" si="3"/>
        <v>20</v>
      </c>
      <c r="U28" s="6"/>
      <c r="V28" s="6"/>
      <c r="W28" s="6"/>
      <c r="X28" s="6"/>
      <c r="Y28" s="6"/>
      <c r="Z28" s="9"/>
      <c r="AA28" s="21">
        <f t="shared" si="4"/>
        <v>0</v>
      </c>
      <c r="AB28" s="21">
        <f t="shared" si="5"/>
        <v>25</v>
      </c>
      <c r="AC28" s="6"/>
      <c r="AD28" s="21">
        <f t="shared" si="6"/>
        <v>5</v>
      </c>
      <c r="AE28" s="6"/>
      <c r="AF28" s="6"/>
      <c r="AG28" s="6"/>
      <c r="AH28" s="6"/>
      <c r="AI28" s="6"/>
      <c r="AJ28" s="9"/>
      <c r="AK28" s="21">
        <f t="shared" si="7"/>
        <v>0</v>
      </c>
      <c r="AL28" s="21">
        <f t="shared" si="8"/>
        <v>25</v>
      </c>
      <c r="AM28" s="6"/>
      <c r="AN28" s="21">
        <f t="shared" si="9"/>
        <v>5</v>
      </c>
      <c r="AO28" s="21" t="e">
        <f t="shared" si="10"/>
        <v>#REF!</v>
      </c>
      <c r="AP28" s="21" t="e">
        <f t="shared" si="11"/>
        <v>#REF!</v>
      </c>
      <c r="AQ28" s="6"/>
      <c r="AR28" s="21" t="e">
        <f t="shared" si="12"/>
        <v>#REF!</v>
      </c>
    </row>
    <row r="29" spans="1:44">
      <c r="A29" s="18" t="e">
        <f>#REF!</f>
        <v>#REF!</v>
      </c>
      <c r="B29" s="19" t="e">
        <f>HYPERLINK(#REF!,RIGHT(#REF!,3))</f>
        <v>#REF!</v>
      </c>
      <c r="C29" s="20" t="e">
        <f>HYPERLINK(#REF!,SUBSTITUTE(#REF!,"https://coding.net/u/",""))</f>
        <v>#REF!</v>
      </c>
      <c r="D29" s="14" t="e">
        <f>HYPERLINK(#REF!,SUBSTITUTE(#REF!,"https://coding.net/",""))</f>
        <v>#REF!</v>
      </c>
      <c r="E29" s="8" t="e">
        <f>HYPERLINK(#REF!,VLOOKUP(A29,#REF!,6,FALSE))</f>
        <v>#REF!</v>
      </c>
      <c r="F29" s="6">
        <v>1</v>
      </c>
      <c r="G29" s="6">
        <v>1</v>
      </c>
      <c r="H29" s="6">
        <v>1</v>
      </c>
      <c r="I29" s="6">
        <v>1</v>
      </c>
      <c r="J29" s="6">
        <v>4</v>
      </c>
      <c r="K29" s="10"/>
      <c r="L29" s="21" t="e">
        <f t="shared" si="0"/>
        <v>#REF!</v>
      </c>
      <c r="M29" s="21" t="e">
        <f t="shared" si="1"/>
        <v>#REF!</v>
      </c>
      <c r="N29" s="6"/>
      <c r="O29" s="6"/>
      <c r="P29" s="6"/>
      <c r="Q29" s="6"/>
      <c r="R29" s="9"/>
      <c r="S29" s="21">
        <f t="shared" si="2"/>
        <v>0</v>
      </c>
      <c r="T29" s="21">
        <f t="shared" si="3"/>
        <v>20</v>
      </c>
      <c r="U29" s="6"/>
      <c r="V29" s="6"/>
      <c r="W29" s="6"/>
      <c r="X29" s="6"/>
      <c r="Y29" s="6"/>
      <c r="Z29" s="9"/>
      <c r="AA29" s="21">
        <f t="shared" si="4"/>
        <v>0</v>
      </c>
      <c r="AB29" s="21">
        <f t="shared" si="5"/>
        <v>25</v>
      </c>
      <c r="AC29" s="6"/>
      <c r="AD29" s="21">
        <f t="shared" si="6"/>
        <v>5</v>
      </c>
      <c r="AE29" s="6"/>
      <c r="AF29" s="6"/>
      <c r="AG29" s="6"/>
      <c r="AH29" s="6"/>
      <c r="AI29" s="6"/>
      <c r="AJ29" s="9"/>
      <c r="AK29" s="21">
        <f t="shared" si="7"/>
        <v>0</v>
      </c>
      <c r="AL29" s="21">
        <f t="shared" si="8"/>
        <v>25</v>
      </c>
      <c r="AM29" s="6"/>
      <c r="AN29" s="21">
        <f t="shared" si="9"/>
        <v>5</v>
      </c>
      <c r="AO29" s="21" t="e">
        <f t="shared" si="10"/>
        <v>#REF!</v>
      </c>
      <c r="AP29" s="21" t="e">
        <f t="shared" si="11"/>
        <v>#REF!</v>
      </c>
      <c r="AQ29" s="6"/>
      <c r="AR29" s="21" t="e">
        <f t="shared" si="12"/>
        <v>#REF!</v>
      </c>
    </row>
    <row r="30" spans="1:44">
      <c r="A30" s="18" t="e">
        <f>#REF!</f>
        <v>#REF!</v>
      </c>
      <c r="B30" s="19" t="e">
        <f>HYPERLINK(#REF!,RIGHT(#REF!,3))</f>
        <v>#REF!</v>
      </c>
      <c r="C30" s="20" t="e">
        <f>HYPERLINK(#REF!,SUBSTITUTE(#REF!,"https://coding.net/u/",""))</f>
        <v>#REF!</v>
      </c>
      <c r="D30" s="14" t="e">
        <f>HYPERLINK(#REF!,SUBSTITUTE(#REF!,"https://coding.net/",""))</f>
        <v>#REF!</v>
      </c>
      <c r="E30" s="8" t="e">
        <f>HYPERLINK(#REF!,VLOOKUP(A30,#REF!,6,FALSE))</f>
        <v>#REF!</v>
      </c>
      <c r="F30" s="6">
        <v>3</v>
      </c>
      <c r="G30" s="6">
        <v>3</v>
      </c>
      <c r="H30" s="6">
        <v>3</v>
      </c>
      <c r="I30" s="6">
        <v>2</v>
      </c>
      <c r="J30" s="6">
        <v>3</v>
      </c>
      <c r="K30" s="10"/>
      <c r="L30" s="21" t="e">
        <f t="shared" si="0"/>
        <v>#REF!</v>
      </c>
      <c r="M30" s="21" t="e">
        <f t="shared" si="1"/>
        <v>#REF!</v>
      </c>
      <c r="N30" s="6"/>
      <c r="O30" s="6"/>
      <c r="P30" s="6"/>
      <c r="Q30" s="6"/>
      <c r="R30" s="9"/>
      <c r="S30" s="21">
        <f t="shared" si="2"/>
        <v>0</v>
      </c>
      <c r="T30" s="21">
        <f t="shared" si="3"/>
        <v>20</v>
      </c>
      <c r="U30" s="6"/>
      <c r="V30" s="6"/>
      <c r="W30" s="6"/>
      <c r="X30" s="6"/>
      <c r="Y30" s="6"/>
      <c r="Z30" s="9"/>
      <c r="AA30" s="21">
        <f t="shared" si="4"/>
        <v>0</v>
      </c>
      <c r="AB30" s="21">
        <f t="shared" si="5"/>
        <v>25</v>
      </c>
      <c r="AC30" s="6"/>
      <c r="AD30" s="21">
        <f t="shared" si="6"/>
        <v>5</v>
      </c>
      <c r="AE30" s="6"/>
      <c r="AF30" s="6"/>
      <c r="AG30" s="6"/>
      <c r="AH30" s="6"/>
      <c r="AI30" s="6"/>
      <c r="AJ30" s="9"/>
      <c r="AK30" s="21">
        <f t="shared" si="7"/>
        <v>0</v>
      </c>
      <c r="AL30" s="21">
        <f t="shared" si="8"/>
        <v>25</v>
      </c>
      <c r="AM30" s="6"/>
      <c r="AN30" s="21">
        <f t="shared" si="9"/>
        <v>5</v>
      </c>
      <c r="AO30" s="21" t="e">
        <f t="shared" si="10"/>
        <v>#REF!</v>
      </c>
      <c r="AP30" s="21" t="e">
        <f t="shared" si="11"/>
        <v>#REF!</v>
      </c>
      <c r="AQ30" s="6"/>
      <c r="AR30" s="21" t="e">
        <f t="shared" si="12"/>
        <v>#REF!</v>
      </c>
    </row>
    <row r="31" spans="1:44">
      <c r="A31" s="18" t="e">
        <f>#REF!</f>
        <v>#REF!</v>
      </c>
      <c r="B31" s="19" t="e">
        <f>HYPERLINK(#REF!,RIGHT(#REF!,3))</f>
        <v>#REF!</v>
      </c>
      <c r="C31" s="20" t="e">
        <f>HYPERLINK(#REF!,SUBSTITUTE(#REF!,"https://coding.net/u/",""))</f>
        <v>#REF!</v>
      </c>
      <c r="D31" s="14" t="e">
        <f>HYPERLINK(#REF!,SUBSTITUTE(#REF!,"https://coding.net/",""))</f>
        <v>#REF!</v>
      </c>
      <c r="E31" s="8" t="e">
        <f>HYPERLINK(#REF!,VLOOKUP(A31,#REF!,6,FALSE))</f>
        <v>#REF!</v>
      </c>
      <c r="F31" s="6">
        <v>2</v>
      </c>
      <c r="G31" s="6">
        <v>3</v>
      </c>
      <c r="H31" s="6">
        <v>2</v>
      </c>
      <c r="I31" s="6">
        <v>6</v>
      </c>
      <c r="J31" s="6">
        <v>4</v>
      </c>
      <c r="K31" s="10"/>
      <c r="L31" s="21" t="e">
        <f t="shared" si="0"/>
        <v>#REF!</v>
      </c>
      <c r="M31" s="21" t="e">
        <f t="shared" si="1"/>
        <v>#REF!</v>
      </c>
      <c r="N31" s="6"/>
      <c r="O31" s="6"/>
      <c r="P31" s="6"/>
      <c r="Q31" s="6"/>
      <c r="R31" s="9"/>
      <c r="S31" s="21">
        <f t="shared" si="2"/>
        <v>0</v>
      </c>
      <c r="T31" s="21">
        <f t="shared" si="3"/>
        <v>20</v>
      </c>
      <c r="U31" s="6"/>
      <c r="V31" s="6"/>
      <c r="W31" s="6"/>
      <c r="X31" s="6"/>
      <c r="Y31" s="6"/>
      <c r="Z31" s="9"/>
      <c r="AA31" s="21">
        <f t="shared" si="4"/>
        <v>0</v>
      </c>
      <c r="AB31" s="21">
        <f t="shared" si="5"/>
        <v>25</v>
      </c>
      <c r="AC31" s="6"/>
      <c r="AD31" s="21">
        <f t="shared" si="6"/>
        <v>5</v>
      </c>
      <c r="AE31" s="6"/>
      <c r="AF31" s="6"/>
      <c r="AG31" s="6"/>
      <c r="AH31" s="6"/>
      <c r="AI31" s="6"/>
      <c r="AJ31" s="9"/>
      <c r="AK31" s="21">
        <f t="shared" si="7"/>
        <v>0</v>
      </c>
      <c r="AL31" s="21">
        <f t="shared" si="8"/>
        <v>25</v>
      </c>
      <c r="AM31" s="6"/>
      <c r="AN31" s="21">
        <f t="shared" si="9"/>
        <v>5</v>
      </c>
      <c r="AO31" s="21" t="e">
        <f t="shared" si="10"/>
        <v>#REF!</v>
      </c>
      <c r="AP31" s="21" t="e">
        <f t="shared" si="11"/>
        <v>#REF!</v>
      </c>
      <c r="AQ31" s="6"/>
      <c r="AR31" s="21" t="e">
        <f t="shared" si="12"/>
        <v>#REF!</v>
      </c>
    </row>
  </sheetData>
  <sortState ref="A1:AR31">
    <sortCondition descending="1" ref="AR1"/>
  </sortState>
  <phoneticPr fontId="1" type="noConversion"/>
  <hyperlinks>
    <hyperlink ref="E1" r:id="rId1" xr:uid="{8119DA90-E4D2-4B8D-8F60-21FC7A6E584C}"/>
  </hyperlinks>
  <pageMargins left="0.7" right="0.7" top="0.75" bottom="0.75" header="0.3" footer="0.3"/>
  <pageSetup paperSize="9" orientation="portrait"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384D1D6-C2E1-41B0-9C99-BD5E608DA2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评分表!AE2:AI2</xm:f>
              <xm:sqref>AJ2</xm:sqref>
            </x14:sparkline>
            <x14:sparkline>
              <xm:f>评分表!AE3:AI3</xm:f>
              <xm:sqref>AJ3</xm:sqref>
            </x14:sparkline>
            <x14:sparkline>
              <xm:f>评分表!AE4:AI4</xm:f>
              <xm:sqref>AJ4</xm:sqref>
            </x14:sparkline>
            <x14:sparkline>
              <xm:f>评分表!AE5:AI5</xm:f>
              <xm:sqref>AJ5</xm:sqref>
            </x14:sparkline>
            <x14:sparkline>
              <xm:f>评分表!AE6:AI6</xm:f>
              <xm:sqref>AJ6</xm:sqref>
            </x14:sparkline>
            <x14:sparkline>
              <xm:f>评分表!AE7:AI7</xm:f>
              <xm:sqref>AJ7</xm:sqref>
            </x14:sparkline>
            <x14:sparkline>
              <xm:f>评分表!AE8:AI8</xm:f>
              <xm:sqref>AJ8</xm:sqref>
            </x14:sparkline>
            <x14:sparkline>
              <xm:f>评分表!AE9:AI9</xm:f>
              <xm:sqref>AJ9</xm:sqref>
            </x14:sparkline>
            <x14:sparkline>
              <xm:f>评分表!AE10:AI10</xm:f>
              <xm:sqref>AJ10</xm:sqref>
            </x14:sparkline>
            <x14:sparkline>
              <xm:f>评分表!AE11:AI11</xm:f>
              <xm:sqref>AJ11</xm:sqref>
            </x14:sparkline>
            <x14:sparkline>
              <xm:f>评分表!AE12:AI12</xm:f>
              <xm:sqref>AJ12</xm:sqref>
            </x14:sparkline>
            <x14:sparkline>
              <xm:f>评分表!AE13:AI13</xm:f>
              <xm:sqref>AJ13</xm:sqref>
            </x14:sparkline>
            <x14:sparkline>
              <xm:f>评分表!AE14:AI14</xm:f>
              <xm:sqref>AJ14</xm:sqref>
            </x14:sparkline>
            <x14:sparkline>
              <xm:f>评分表!AE15:AI15</xm:f>
              <xm:sqref>AJ15</xm:sqref>
            </x14:sparkline>
            <x14:sparkline>
              <xm:f>评分表!AE16:AI16</xm:f>
              <xm:sqref>AJ16</xm:sqref>
            </x14:sparkline>
            <x14:sparkline>
              <xm:f>评分表!AE17:AI17</xm:f>
              <xm:sqref>AJ17</xm:sqref>
            </x14:sparkline>
            <x14:sparkline>
              <xm:f>评分表!AE18:AI18</xm:f>
              <xm:sqref>AJ18</xm:sqref>
            </x14:sparkline>
            <x14:sparkline>
              <xm:f>评分表!AE19:AI19</xm:f>
              <xm:sqref>AJ19</xm:sqref>
            </x14:sparkline>
            <x14:sparkline>
              <xm:f>评分表!AE20:AI20</xm:f>
              <xm:sqref>AJ20</xm:sqref>
            </x14:sparkline>
            <x14:sparkline>
              <xm:f>评分表!AE21:AI21</xm:f>
              <xm:sqref>AJ21</xm:sqref>
            </x14:sparkline>
            <x14:sparkline>
              <xm:f>评分表!AE22:AI22</xm:f>
              <xm:sqref>AJ22</xm:sqref>
            </x14:sparkline>
            <x14:sparkline>
              <xm:f>评分表!AE23:AI23</xm:f>
              <xm:sqref>AJ23</xm:sqref>
            </x14:sparkline>
            <x14:sparkline>
              <xm:f>评分表!AE24:AI24</xm:f>
              <xm:sqref>AJ24</xm:sqref>
            </x14:sparkline>
            <x14:sparkline>
              <xm:f>评分表!AE25:AI25</xm:f>
              <xm:sqref>AJ25</xm:sqref>
            </x14:sparkline>
            <x14:sparkline>
              <xm:f>评分表!AE26:AI26</xm:f>
              <xm:sqref>AJ26</xm:sqref>
            </x14:sparkline>
            <x14:sparkline>
              <xm:f>评分表!AE27:AI27</xm:f>
              <xm:sqref>AJ27</xm:sqref>
            </x14:sparkline>
            <x14:sparkline>
              <xm:f>评分表!AE28:AI28</xm:f>
              <xm:sqref>AJ28</xm:sqref>
            </x14:sparkline>
            <x14:sparkline>
              <xm:f>评分表!AE29:AI29</xm:f>
              <xm:sqref>AJ29</xm:sqref>
            </x14:sparkline>
            <x14:sparkline>
              <xm:f>评分表!AE30:AI30</xm:f>
              <xm:sqref>AJ30</xm:sqref>
            </x14:sparkline>
            <x14:sparkline>
              <xm:f>评分表!AE31:AI31</xm:f>
              <xm:sqref>AJ31</xm:sqref>
            </x14:sparkline>
          </x14:sparklines>
        </x14:sparklineGroup>
        <x14:sparklineGroup displayEmptyCellsAs="gap" high="1" low="1" xr2:uid="{DCA64144-F722-4846-934C-36769EB9DB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评分表!U2:Y2</xm:f>
              <xm:sqref>Z2</xm:sqref>
            </x14:sparkline>
            <x14:sparkline>
              <xm:f>评分表!U3:Y3</xm:f>
              <xm:sqref>Z3</xm:sqref>
            </x14:sparkline>
            <x14:sparkline>
              <xm:f>评分表!U4:Y4</xm:f>
              <xm:sqref>Z4</xm:sqref>
            </x14:sparkline>
            <x14:sparkline>
              <xm:f>评分表!U5:Y5</xm:f>
              <xm:sqref>Z5</xm:sqref>
            </x14:sparkline>
            <x14:sparkline>
              <xm:f>评分表!U6:Y6</xm:f>
              <xm:sqref>Z6</xm:sqref>
            </x14:sparkline>
            <x14:sparkline>
              <xm:f>评分表!U7:Y7</xm:f>
              <xm:sqref>Z7</xm:sqref>
            </x14:sparkline>
            <x14:sparkline>
              <xm:f>评分表!U8:Y8</xm:f>
              <xm:sqref>Z8</xm:sqref>
            </x14:sparkline>
            <x14:sparkline>
              <xm:f>评分表!U9:Y9</xm:f>
              <xm:sqref>Z9</xm:sqref>
            </x14:sparkline>
            <x14:sparkline>
              <xm:f>评分表!U10:Y10</xm:f>
              <xm:sqref>Z10</xm:sqref>
            </x14:sparkline>
            <x14:sparkline>
              <xm:f>评分表!U11:Y11</xm:f>
              <xm:sqref>Z11</xm:sqref>
            </x14:sparkline>
            <x14:sparkline>
              <xm:f>评分表!U12:Y12</xm:f>
              <xm:sqref>Z12</xm:sqref>
            </x14:sparkline>
            <x14:sparkline>
              <xm:f>评分表!U13:Y13</xm:f>
              <xm:sqref>Z13</xm:sqref>
            </x14:sparkline>
            <x14:sparkline>
              <xm:f>评分表!U14:Y14</xm:f>
              <xm:sqref>Z14</xm:sqref>
            </x14:sparkline>
            <x14:sparkline>
              <xm:f>评分表!U15:Y15</xm:f>
              <xm:sqref>Z15</xm:sqref>
            </x14:sparkline>
            <x14:sparkline>
              <xm:f>评分表!U16:Y16</xm:f>
              <xm:sqref>Z16</xm:sqref>
            </x14:sparkline>
            <x14:sparkline>
              <xm:f>评分表!U17:Y17</xm:f>
              <xm:sqref>Z17</xm:sqref>
            </x14:sparkline>
            <x14:sparkline>
              <xm:f>评分表!U18:Y18</xm:f>
              <xm:sqref>Z18</xm:sqref>
            </x14:sparkline>
            <x14:sparkline>
              <xm:f>评分表!U19:Y19</xm:f>
              <xm:sqref>Z19</xm:sqref>
            </x14:sparkline>
            <x14:sparkline>
              <xm:f>评分表!U20:Y20</xm:f>
              <xm:sqref>Z20</xm:sqref>
            </x14:sparkline>
            <x14:sparkline>
              <xm:f>评分表!U21:Y21</xm:f>
              <xm:sqref>Z21</xm:sqref>
            </x14:sparkline>
            <x14:sparkline>
              <xm:f>评分表!U22:Y22</xm:f>
              <xm:sqref>Z22</xm:sqref>
            </x14:sparkline>
            <x14:sparkline>
              <xm:f>评分表!U23:Y23</xm:f>
              <xm:sqref>Z23</xm:sqref>
            </x14:sparkline>
            <x14:sparkline>
              <xm:f>评分表!U24:Y24</xm:f>
              <xm:sqref>Z24</xm:sqref>
            </x14:sparkline>
            <x14:sparkline>
              <xm:f>评分表!U25:Y25</xm:f>
              <xm:sqref>Z25</xm:sqref>
            </x14:sparkline>
            <x14:sparkline>
              <xm:f>评分表!U26:Y26</xm:f>
              <xm:sqref>Z26</xm:sqref>
            </x14:sparkline>
            <x14:sparkline>
              <xm:f>评分表!U27:Y27</xm:f>
              <xm:sqref>Z27</xm:sqref>
            </x14:sparkline>
            <x14:sparkline>
              <xm:f>评分表!U28:Y28</xm:f>
              <xm:sqref>Z28</xm:sqref>
            </x14:sparkline>
            <x14:sparkline>
              <xm:f>评分表!U29:Y29</xm:f>
              <xm:sqref>Z29</xm:sqref>
            </x14:sparkline>
            <x14:sparkline>
              <xm:f>评分表!U30:Y30</xm:f>
              <xm:sqref>Z30</xm:sqref>
            </x14:sparkline>
            <x14:sparkline>
              <xm:f>评分表!U31:Y31</xm:f>
              <xm:sqref>Z31</xm:sqref>
            </x14:sparkline>
          </x14:sparklines>
        </x14:sparklineGroup>
        <x14:sparklineGroup displayEmptyCellsAs="gap" high="1" low="1" xr2:uid="{3B4E9FFD-91B6-4E63-A8D2-1680D8FA23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评分表!N2:Q2</xm:f>
              <xm:sqref>R2</xm:sqref>
            </x14:sparkline>
            <x14:sparkline>
              <xm:f>评分表!N3:Q3</xm:f>
              <xm:sqref>R3</xm:sqref>
            </x14:sparkline>
            <x14:sparkline>
              <xm:f>评分表!N4:Q4</xm:f>
              <xm:sqref>R4</xm:sqref>
            </x14:sparkline>
            <x14:sparkline>
              <xm:f>评分表!N5:Q5</xm:f>
              <xm:sqref>R5</xm:sqref>
            </x14:sparkline>
            <x14:sparkline>
              <xm:f>评分表!N6:Q6</xm:f>
              <xm:sqref>R6</xm:sqref>
            </x14:sparkline>
            <x14:sparkline>
              <xm:f>评分表!N7:Q7</xm:f>
              <xm:sqref>R7</xm:sqref>
            </x14:sparkline>
            <x14:sparkline>
              <xm:f>评分表!N8:Q8</xm:f>
              <xm:sqref>R8</xm:sqref>
            </x14:sparkline>
            <x14:sparkline>
              <xm:f>评分表!N9:Q9</xm:f>
              <xm:sqref>R9</xm:sqref>
            </x14:sparkline>
            <x14:sparkline>
              <xm:f>评分表!N10:Q10</xm:f>
              <xm:sqref>R10</xm:sqref>
            </x14:sparkline>
            <x14:sparkline>
              <xm:f>评分表!N11:Q11</xm:f>
              <xm:sqref>R11</xm:sqref>
            </x14:sparkline>
            <x14:sparkline>
              <xm:f>评分表!N12:Q12</xm:f>
              <xm:sqref>R12</xm:sqref>
            </x14:sparkline>
            <x14:sparkline>
              <xm:f>评分表!N13:Q13</xm:f>
              <xm:sqref>R13</xm:sqref>
            </x14:sparkline>
            <x14:sparkline>
              <xm:f>评分表!N14:Q14</xm:f>
              <xm:sqref>R14</xm:sqref>
            </x14:sparkline>
            <x14:sparkline>
              <xm:f>评分表!N15:Q15</xm:f>
              <xm:sqref>R15</xm:sqref>
            </x14:sparkline>
            <x14:sparkline>
              <xm:f>评分表!N16:Q16</xm:f>
              <xm:sqref>R16</xm:sqref>
            </x14:sparkline>
            <x14:sparkline>
              <xm:f>评分表!N17:Q17</xm:f>
              <xm:sqref>R17</xm:sqref>
            </x14:sparkline>
            <x14:sparkline>
              <xm:f>评分表!N18:Q18</xm:f>
              <xm:sqref>R18</xm:sqref>
            </x14:sparkline>
            <x14:sparkline>
              <xm:f>评分表!N19:Q19</xm:f>
              <xm:sqref>R19</xm:sqref>
            </x14:sparkline>
            <x14:sparkline>
              <xm:f>评分表!N20:Q20</xm:f>
              <xm:sqref>R20</xm:sqref>
            </x14:sparkline>
            <x14:sparkline>
              <xm:f>评分表!N21:Q21</xm:f>
              <xm:sqref>R21</xm:sqref>
            </x14:sparkline>
            <x14:sparkline>
              <xm:f>评分表!N22:Q22</xm:f>
              <xm:sqref>R22</xm:sqref>
            </x14:sparkline>
            <x14:sparkline>
              <xm:f>评分表!N23:Q23</xm:f>
              <xm:sqref>R23</xm:sqref>
            </x14:sparkline>
            <x14:sparkline>
              <xm:f>评分表!N24:Q24</xm:f>
              <xm:sqref>R24</xm:sqref>
            </x14:sparkline>
            <x14:sparkline>
              <xm:f>评分表!N25:Q25</xm:f>
              <xm:sqref>R25</xm:sqref>
            </x14:sparkline>
            <x14:sparkline>
              <xm:f>评分表!N26:Q26</xm:f>
              <xm:sqref>R26</xm:sqref>
            </x14:sparkline>
            <x14:sparkline>
              <xm:f>评分表!N27:Q27</xm:f>
              <xm:sqref>R27</xm:sqref>
            </x14:sparkline>
            <x14:sparkline>
              <xm:f>评分表!N28:Q28</xm:f>
              <xm:sqref>R28</xm:sqref>
            </x14:sparkline>
            <x14:sparkline>
              <xm:f>评分表!N29:Q29</xm:f>
              <xm:sqref>R29</xm:sqref>
            </x14:sparkline>
            <x14:sparkline>
              <xm:f>评分表!N30:Q30</xm:f>
              <xm:sqref>R30</xm:sqref>
            </x14:sparkline>
            <x14:sparkline>
              <xm:f>评分表!N31:Q31</xm:f>
              <xm:sqref>R31</xm:sqref>
            </x14:sparkline>
          </x14:sparklines>
        </x14:sparklineGroup>
        <x14:sparklineGroup displayEmptyCellsAs="gap" high="1" low="1" xr2:uid="{B4332BA9-35A8-43D7-A721-91EE73CBE1AE}">
          <x14:colorSeries rgb="FF376092"/>
          <x14:colorNegative theme="9"/>
          <x14:colorAxis rgb="FF000000"/>
          <x14:colorMarkers rgb="FFD00000"/>
          <x14:colorFirst rgb="FFD00000"/>
          <x14:colorLast rgb="FFD00000"/>
          <x14:colorHigh theme="1"/>
          <x14:colorLow rgb="FFFF0000"/>
          <x14:sparklines>
            <x14:sparkline>
              <xm:f>评分表!E2:J2</xm:f>
              <xm:sqref>K2</xm:sqref>
            </x14:sparkline>
            <x14:sparkline>
              <xm:f>评分表!E3:J3</xm:f>
              <xm:sqref>K3</xm:sqref>
            </x14:sparkline>
            <x14:sparkline>
              <xm:f>评分表!E4:J4</xm:f>
              <xm:sqref>K4</xm:sqref>
            </x14:sparkline>
            <x14:sparkline>
              <xm:f>评分表!E5:J5</xm:f>
              <xm:sqref>K5</xm:sqref>
            </x14:sparkline>
            <x14:sparkline>
              <xm:f>评分表!E6:J6</xm:f>
              <xm:sqref>K6</xm:sqref>
            </x14:sparkline>
            <x14:sparkline>
              <xm:f>评分表!E7:J7</xm:f>
              <xm:sqref>K7</xm:sqref>
            </x14:sparkline>
            <x14:sparkline>
              <xm:f>评分表!E8:J8</xm:f>
              <xm:sqref>K8</xm:sqref>
            </x14:sparkline>
            <x14:sparkline>
              <xm:f>评分表!E9:J9</xm:f>
              <xm:sqref>K9</xm:sqref>
            </x14:sparkline>
            <x14:sparkline>
              <xm:f>评分表!E10:J10</xm:f>
              <xm:sqref>K10</xm:sqref>
            </x14:sparkline>
            <x14:sparkline>
              <xm:f>评分表!E11:J11</xm:f>
              <xm:sqref>K11</xm:sqref>
            </x14:sparkline>
            <x14:sparkline>
              <xm:f>评分表!E12:J12</xm:f>
              <xm:sqref>K12</xm:sqref>
            </x14:sparkline>
            <x14:sparkline>
              <xm:f>评分表!E13:J13</xm:f>
              <xm:sqref>K13</xm:sqref>
            </x14:sparkline>
            <x14:sparkline>
              <xm:f>评分表!E14:J14</xm:f>
              <xm:sqref>K14</xm:sqref>
            </x14:sparkline>
            <x14:sparkline>
              <xm:f>评分表!E15:J15</xm:f>
              <xm:sqref>K15</xm:sqref>
            </x14:sparkline>
            <x14:sparkline>
              <xm:f>评分表!E16:J16</xm:f>
              <xm:sqref>K16</xm:sqref>
            </x14:sparkline>
            <x14:sparkline>
              <xm:f>评分表!E17:J17</xm:f>
              <xm:sqref>K17</xm:sqref>
            </x14:sparkline>
            <x14:sparkline>
              <xm:f>评分表!E18:J18</xm:f>
              <xm:sqref>K18</xm:sqref>
            </x14:sparkline>
            <x14:sparkline>
              <xm:f>评分表!E19:J19</xm:f>
              <xm:sqref>K19</xm:sqref>
            </x14:sparkline>
            <x14:sparkline>
              <xm:f>评分表!E20:J20</xm:f>
              <xm:sqref>K20</xm:sqref>
            </x14:sparkline>
            <x14:sparkline>
              <xm:f>评分表!E21:J21</xm:f>
              <xm:sqref>K21</xm:sqref>
            </x14:sparkline>
            <x14:sparkline>
              <xm:f>评分表!E22:J22</xm:f>
              <xm:sqref>K22</xm:sqref>
            </x14:sparkline>
            <x14:sparkline>
              <xm:f>评分表!E23:J23</xm:f>
              <xm:sqref>K23</xm:sqref>
            </x14:sparkline>
            <x14:sparkline>
              <xm:f>评分表!E24:J24</xm:f>
              <xm:sqref>K24</xm:sqref>
            </x14:sparkline>
            <x14:sparkline>
              <xm:f>评分表!E25:J25</xm:f>
              <xm:sqref>K25</xm:sqref>
            </x14:sparkline>
            <x14:sparkline>
              <xm:f>评分表!E26:J26</xm:f>
              <xm:sqref>K26</xm:sqref>
            </x14:sparkline>
            <x14:sparkline>
              <xm:f>评分表!E27:J27</xm:f>
              <xm:sqref>K27</xm:sqref>
            </x14:sparkline>
            <x14:sparkline>
              <xm:f>评分表!E28:J28</xm:f>
              <xm:sqref>K28</xm:sqref>
            </x14:sparkline>
            <x14:sparkline>
              <xm:f>评分表!E29:J29</xm:f>
              <xm:sqref>K29</xm:sqref>
            </x14:sparkline>
            <x14:sparkline>
              <xm:f>评分表!E30:J30</xm:f>
              <xm:sqref>K30</xm:sqref>
            </x14:sparkline>
            <x14:sparkline>
              <xm:f>评分表!E31:J31</xm:f>
              <xm:sqref>K31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F9B2-071A-47B8-84F6-3C72A254D496}">
  <dimension ref="A1:B4"/>
  <sheetViews>
    <sheetView tabSelected="1" workbookViewId="0">
      <selection activeCell="B4" sqref="B4"/>
    </sheetView>
  </sheetViews>
  <sheetFormatPr defaultRowHeight="14.25"/>
  <sheetData>
    <row r="1" spans="1:2">
      <c r="A1" t="s">
        <v>32</v>
      </c>
      <c r="B1" t="s">
        <v>31</v>
      </c>
    </row>
    <row r="2" spans="1:2">
      <c r="A2" s="22" t="s">
        <v>28</v>
      </c>
      <c r="B2">
        <v>11</v>
      </c>
    </row>
    <row r="3" spans="1:2">
      <c r="A3" s="22" t="s">
        <v>29</v>
      </c>
      <c r="B3">
        <v>23</v>
      </c>
    </row>
    <row r="4" spans="1:2">
      <c r="A4" s="22" t="s">
        <v>30</v>
      </c>
      <c r="B4">
        <v>44</v>
      </c>
    </row>
  </sheetData>
  <phoneticPr fontId="1" type="noConversion"/>
  <hyperlinks>
    <hyperlink ref="A2" r:id="rId1" xr:uid="{A5D11FEB-24CF-4179-B96B-660DD878488B}"/>
    <hyperlink ref="A3:A4" r:id="rId2" display="项目1" xr:uid="{D37500ED-2EED-4D9F-BABA-E47EC5B0A4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评分表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zeng</dc:creator>
  <cp:lastModifiedBy>Grey</cp:lastModifiedBy>
  <dcterms:created xsi:type="dcterms:W3CDTF">2017-07-30T09:49:22Z</dcterms:created>
  <dcterms:modified xsi:type="dcterms:W3CDTF">2017-11-11T09:48:29Z</dcterms:modified>
  <cp:contentStatus/>
</cp:coreProperties>
</file>